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07AC3E04-ED9B-402C-97B3-844D4CA9A6F2}" xr6:coauthVersionLast="47" xr6:coauthVersionMax="47" xr10:uidLastSave="{00000000-0000-0000-0000-000000000000}"/>
  <bookViews>
    <workbookView xWindow="19090" yWindow="250" windowWidth="19420" windowHeight="11020" xr2:uid="{00000000-000D-0000-FFFF-FFFF00000000}"/>
  </bookViews>
  <sheets>
    <sheet name="dashboard" sheetId="3" r:id="rId1"/>
  </sheets>
  <definedNames>
    <definedName name="ExternalData_1" localSheetId="0" hidden="1">dashboard!$C$1:$K$48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<sst xmlns="http://schemas.openxmlformats.org/spreadsheetml/2006/main" count="420" uniqueCount="192">
  <si>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</si>
  <si>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</si>
  <si>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</si>
  <si>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</si>
  <si>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</si>
  <si>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</si>
  <si>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</si>
  <si>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</si>
  <si>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</si>
  <si>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</si>
  <si>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</si>
  <si>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</si>
  <si>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</si>
  <si>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Finance &amp; Accounting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</si>
  <si>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</si>
  <si>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</si>
  <si>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</si>
  <si>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</si>
  <si>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</si>
  <si>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</si>
  <si>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</si>
  <si>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</si>
  <si>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</si>
  <si>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</si>
  <si>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</si>
  <si>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</si>
  <si>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</si>
  <si>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</si>
  <si>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</si>
  <si>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</si>
  <si>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</si>
  <si>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</si>
  <si>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</si>
  <si>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</si>
  <si>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</si>
  <si>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EC2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</si>
  <si>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</si>
  <si>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</si>
  <si>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</si>
  <si>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</si>
  <si>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</si>
  <si>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</si>
  <si>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</si>
  <si>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</si>
  <si>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</si>
  <si>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</si>
  <si>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</si>
  <si>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</si>
  <si>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</si>
  <si>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</si>
  <si>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</si>
  <si>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</si>
  <si>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</si>
  <si>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</si>
  <si>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</si>
  <si>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</si>
  <si>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</si>
  <si>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</si>
  <si>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</si>
  <si>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</si>
  <si>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</si>
  <si>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</si>
  <si>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</si>
  <si>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</si>
  <si>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</si>
  <si>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</si>
  <si>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</si>
  <si>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</si>
  <si>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</si>
  <si>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</si>
  <si>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</si>
  <si>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</si>
  <si>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</si>
  <si>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</si>
  <si>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</si>
  <si>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</si>
  <si>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</si>
  <si>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</si>
  <si>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</si>
  <si>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</si>
  <si>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</si>
  <si>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</si>
  <si>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</si>
  <si>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</si>
  <si>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</si>
  <si>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</si>
  <si>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</si>
  <si>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</si>
  <si>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</si>
  <si>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</si>
  <si>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</si>
  <si>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</si>
  <si>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</si>
  <si>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</si>
  <si>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</si>
  <si>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</si>
  <si>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</si>
  <si>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</si>
  <si>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</si>
  <si>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</si>
  <si>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</si>
  <si>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</si>
  <si>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</si>
  <si>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</si>
  <si>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</si>
  <si>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</si>
  <si>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</si>
  <si>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</si>
  <si>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</si>
  <si>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</si>
  <si>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</si>
  <si>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</si>
  <si>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</si>
  <si>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</si>
  <si>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</si>
  <si>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</si>
  <si>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</si>
  <si>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</si>
  <si>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</si>
  <si>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</si>
  <si>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</si>
  <si>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</si>
  <si>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</si>
  <si>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</si>
  <si>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</si>
  <si>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</si>
  <si>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</si>
  <si>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</si>
  <si>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</si>
  <si>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</si>
  <si>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Officer, Reporting and Analytics</t>
  </si>
  <si>
    <t>https://worldbankgroup.csod.com/ats/careersite/JobDetails.aspx?id=21266&amp;site=1</t>
  </si>
  <si>
    <t>req21266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</si>
  <si>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</si>
  <si>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</si>
  <si>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</si>
  <si>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</si>
  <si>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</si>
  <si>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</si>
  <si>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</si>
  <si>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</si>
  <si>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</si>
  <si>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</si>
  <si>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</si>
  <si>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</si>
  <si>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</si>
  <si>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</si>
  <si>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</si>
  <si>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</si>
  <si>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</si>
  <si>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</si>
  <si>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</si>
  <si>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</si>
  <si>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</si>
  <si>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</si>
  <si>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</si>
  <si>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</si>
  <si>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</si>
  <si>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</si>
  <si>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</si>
  <si>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</si>
  <si>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</si>
  <si>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</si>
  <si>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</si>
  <si>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</si>
  <si>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</si>
  <si>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</si>
  <si>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</si>
  <si>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</si>
  <si>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</si>
  <si>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</si>
  <si>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</si>
  <si>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</si>
  <si>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</si>
  <si>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</si>
  <si>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</si>
  <si>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</si>
  <si>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</si>
  <si>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</si>
  <si>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</si>
  <si>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</si>
  <si>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</si>
  <si>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strongly interested</t>
  </si>
  <si>
    <t>Program Assistant</t>
  </si>
  <si>
    <t>https://worldbankgroup.csod.com/ats/careersite/JobDetails.aspx?id=21392&amp;site=1</t>
  </si>
  <si>
    <t>req21392</t>
  </si>
  <si>
    <t>GC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</si>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</sst>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16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2545080</xdr:colOff>
      <xdr:row>3</xdr:row>
      <xdr:rowOff>152400</xdr:rowOff>
    </xdr:from>
    <xdr:to>
      <xdr:col>2</xdr:col>
      <xdr:colOff>4709160</xdr:colOff>
      <xdr:row>7</xdr:row>
      <xdr:rowOff>167640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4610100" y="75438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8" tableType="queryTable" totalsRowShown="0" headerRowDxfId="11" dataDxfId="9" headerRowBorderDxfId="10">
  <autoFilter ref="C1:K48" xr:uid="{50A5D6CA-B101-4492-81ED-A45EE1488A4A}"/>
  <tableColumns count="9">
    <tableColumn id="1" xr3:uid="{D4C59809-12DE-4A57-9369-F0C9A8928250}" uniqueName="1" name="title" queryTableFieldId="1" dataDxfId="8"/>
    <tableColumn id="2" xr3:uid="{D32455D0-FE72-4F1B-B779-4DFACC82EC61}" uniqueName="2" name="detail" queryTableFieldId="2" dataDxfId="7"/>
    <tableColumn id="3" xr3:uid="{8A1C452F-45FC-4719-B31D-8BEBAF44D1D6}" uniqueName="3" name="instit" queryTableFieldId="3" dataDxfId="6"/>
    <tableColumn id="4" xr3:uid="{B7CC07D4-2155-46E5-BB98-FD38908ACFE5}" uniqueName="4" name="code" queryTableFieldId="4" dataDxfId="5"/>
    <tableColumn id="5" xr3:uid="{27048D43-5681-48BC-BB1F-E530D1F1D02C}" uniqueName="5" name="grade" queryTableFieldId="5" dataDxfId="4"/>
    <tableColumn id="6" xr3:uid="{01A3CAB6-9DD8-46DC-B9BA-DDD5FEF407ED}" uniqueName="6" name="location" queryTableFieldId="6" dataDxfId="3"/>
    <tableColumn id="7" xr3:uid="{6C710DEE-DEC7-4EE1-9D6F-51D23DEFD784}" uniqueName="7" name="topic" queryTableFieldId="7" dataDxfId="2"/>
    <tableColumn id="8" xr3:uid="{97E7C612-72C3-48BF-8599-85D76A602212}" uniqueName="8" name="ddl" queryTableFieldId="8" dataDxfId="1"/>
    <tableColumn id="9" xr3:uid="{BED5A53F-EC10-47B5-8434-8A38F5C6C9D2}" uniqueName="9" name="status" queryTableFieldId="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topLeftCell="A9" workbookViewId="0">
      <selection activeCell="F48" sqref="F48"/>
    </sheetView>
  </sheetViews>
  <sheetFormatPr defaultColWidth="8.88671875"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8.77734375" style="1" bestFit="1" customWidth="1"/>
    <col min="12" max="16384" width="8.88671875" style="1"/>
  </cols>
  <sheetData>
    <row r="1" spans="1:11" s="3" customFormat="1" ht="16.2" thickBot="1" x14ac:dyDescent="0.35">
      <c r="A1" s="3" t="s">
        <v>180</v>
      </c>
      <c r="B1" s="3" t="s">
        <v>178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179</v>
      </c>
    </row>
    <row r="2" spans="1:11" x14ac:dyDescent="0.3">
      <c r="A2" s="1" t="s">
        <v>191</v>
      </c>
      <c r="B2" s="2" t="str">
        <f>HYPERLINK(data[[#This Row],[detail]],"click")</f>
        <v>click</v>
      </c>
      <c r="C2" s="1" t="s">
        <v>48</v>
      </c>
      <c r="D2" s="1" t="s">
        <v>49</v>
      </c>
      <c r="E2" s="1" t="s">
        <v>8</v>
      </c>
      <c r="F2" s="1" t="s">
        <v>50</v>
      </c>
      <c r="G2" s="1" t="s">
        <v>34</v>
      </c>
      <c r="H2" s="1" t="s">
        <v>10</v>
      </c>
      <c r="I2" s="1" t="s">
        <v>51</v>
      </c>
      <c r="J2" s="4">
        <v>44983</v>
      </c>
      <c r="K2" s="1" t="s">
        <v>182</v>
      </c>
    </row>
    <row r="3" spans="1:11" x14ac:dyDescent="0.3">
      <c r="A3" s="1" t="s">
        <v>191</v>
      </c>
      <c r="B3" s="2" t="str">
        <f>HYPERLINK(data[[#This Row],[detail]],"click")</f>
        <v>click</v>
      </c>
      <c r="C3" s="1" t="s">
        <v>133</v>
      </c>
      <c r="D3" s="1" t="s">
        <v>134</v>
      </c>
      <c r="E3" s="1" t="s">
        <v>12</v>
      </c>
      <c r="F3" s="1" t="s">
        <v>135</v>
      </c>
      <c r="G3" s="1" t="s">
        <v>41</v>
      </c>
      <c r="H3" s="1" t="s">
        <v>10</v>
      </c>
      <c r="I3" s="1" t="s">
        <v>26</v>
      </c>
      <c r="J3" s="4">
        <v>44984</v>
      </c>
      <c r="K3" s="1" t="s">
        <v>182</v>
      </c>
    </row>
    <row r="4" spans="1:11" x14ac:dyDescent="0.3">
      <c r="A4" s="1" t="s">
        <v>191</v>
      </c>
      <c r="B4" s="2" t="str">
        <f>HYPERLINK(data[[#This Row],[detail]],"click")</f>
        <v>click</v>
      </c>
      <c r="C4" s="1" t="s">
        <v>70</v>
      </c>
      <c r="D4" s="1" t="s">
        <v>71</v>
      </c>
      <c r="E4" s="1" t="s">
        <v>8</v>
      </c>
      <c r="F4" s="1" t="s">
        <v>72</v>
      </c>
      <c r="G4" s="1" t="s">
        <v>73</v>
      </c>
      <c r="H4" s="1" t="s">
        <v>10</v>
      </c>
      <c r="I4" s="1" t="s">
        <v>74</v>
      </c>
      <c r="J4" s="4">
        <v>44984</v>
      </c>
      <c r="K4" s="1" t="s">
        <v>181</v>
      </c>
    </row>
    <row r="5" spans="1:11" x14ac:dyDescent="0.3">
      <c r="A5" s="1" t="s">
        <v>190</v>
      </c>
      <c r="B5" s="2" t="str">
        <f>HYPERLINK(data[[#This Row],[detail]],"click")</f>
        <v>click</v>
      </c>
      <c r="C5" s="1" t="s">
        <v>145</v>
      </c>
      <c r="D5" s="1" t="s">
        <v>146</v>
      </c>
      <c r="E5" s="1" t="s">
        <v>12</v>
      </c>
      <c r="F5" s="1" t="s">
        <v>147</v>
      </c>
      <c r="G5" s="1" t="s">
        <v>24</v>
      </c>
      <c r="H5" s="1" t="s">
        <v>10</v>
      </c>
      <c r="I5" s="1" t="s">
        <v>61</v>
      </c>
      <c r="J5" s="4">
        <v>44984</v>
      </c>
      <c r="K5" s="1" t="s">
        <v>121</v>
      </c>
    </row>
    <row r="6" spans="1:11" x14ac:dyDescent="0.3">
      <c r="A6" s="1" t="s">
        <v>191</v>
      </c>
      <c r="B6" s="2" t="str">
        <f>HYPERLINK(data[[#This Row],[detail]],"click")</f>
        <v>click</v>
      </c>
      <c r="C6" s="1" t="s">
        <v>14</v>
      </c>
      <c r="D6" s="1" t="s">
        <v>15</v>
      </c>
      <c r="E6" s="1" t="s">
        <v>8</v>
      </c>
      <c r="F6" s="1" t="s">
        <v>16</v>
      </c>
      <c r="G6" s="1" t="s">
        <v>9</v>
      </c>
      <c r="H6" s="1" t="s">
        <v>10</v>
      </c>
      <c r="I6" s="1" t="s">
        <v>17</v>
      </c>
      <c r="J6" s="4">
        <v>44985</v>
      </c>
      <c r="K6" s="1" t="s">
        <v>121</v>
      </c>
    </row>
    <row r="7" spans="1:11" x14ac:dyDescent="0.3">
      <c r="A7" s="1" t="s">
        <v>191</v>
      </c>
      <c r="B7" s="2" t="str">
        <f>HYPERLINK(data[[#This Row],[detail]],"click")</f>
        <v>click</v>
      </c>
      <c r="C7" s="1" t="s">
        <v>31</v>
      </c>
      <c r="D7" s="1" t="s">
        <v>36</v>
      </c>
      <c r="E7" s="1" t="s">
        <v>12</v>
      </c>
      <c r="F7" s="1" t="s">
        <v>37</v>
      </c>
      <c r="G7" s="1" t="s">
        <v>35</v>
      </c>
      <c r="H7" s="1" t="s">
        <v>10</v>
      </c>
      <c r="I7" s="1" t="s">
        <v>38</v>
      </c>
      <c r="J7" s="4">
        <v>44985</v>
      </c>
      <c r="K7" s="1" t="s">
        <v>121</v>
      </c>
    </row>
    <row r="8" spans="1:11" x14ac:dyDescent="0.3">
      <c r="A8" s="1" t="s">
        <v>191</v>
      </c>
      <c r="B8" s="2" t="str">
        <f>HYPERLINK(data[[#This Row],[detail]],"click")</f>
        <v>click</v>
      </c>
      <c r="C8" s="1" t="s">
        <v>77</v>
      </c>
      <c r="D8" s="1" t="s">
        <v>78</v>
      </c>
      <c r="E8" s="1" t="s">
        <v>8</v>
      </c>
      <c r="F8" s="1" t="s">
        <v>79</v>
      </c>
      <c r="G8" s="1" t="s">
        <v>73</v>
      </c>
      <c r="H8" s="1" t="s">
        <v>10</v>
      </c>
      <c r="I8" s="1" t="s">
        <v>13</v>
      </c>
      <c r="J8" s="4">
        <v>44985</v>
      </c>
      <c r="K8" s="1" t="s">
        <v>121</v>
      </c>
    </row>
    <row r="9" spans="1:11" x14ac:dyDescent="0.3">
      <c r="A9" s="1" t="s">
        <v>191</v>
      </c>
      <c r="B9" s="2" t="str">
        <f>HYPERLINK(data[[#This Row],[detail]],"click")</f>
        <v>click</v>
      </c>
      <c r="C9" s="1" t="s">
        <v>118</v>
      </c>
      <c r="D9" s="1" t="s">
        <v>119</v>
      </c>
      <c r="E9" s="1" t="s">
        <v>12</v>
      </c>
      <c r="F9" s="1" t="s">
        <v>120</v>
      </c>
      <c r="G9" s="1" t="s">
        <v>9</v>
      </c>
      <c r="H9" s="1" t="s">
        <v>10</v>
      </c>
      <c r="I9" s="1" t="s">
        <v>43</v>
      </c>
      <c r="J9" s="4">
        <v>44985</v>
      </c>
      <c r="K9" s="1" t="s">
        <v>121</v>
      </c>
    </row>
    <row r="10" spans="1:11" x14ac:dyDescent="0.3">
      <c r="A10" s="1" t="s">
        <v>191</v>
      </c>
      <c r="B10" s="2" t="str">
        <f>HYPERLINK(data[[#This Row],[detail]],"click")</f>
        <v>click</v>
      </c>
      <c r="C10" s="1" t="s">
        <v>139</v>
      </c>
      <c r="D10" s="1" t="s">
        <v>140</v>
      </c>
      <c r="E10" s="1" t="s">
        <v>12</v>
      </c>
      <c r="F10" s="1" t="s">
        <v>141</v>
      </c>
      <c r="G10" s="1" t="s">
        <v>9</v>
      </c>
      <c r="H10" s="1" t="s">
        <v>10</v>
      </c>
      <c r="I10" s="1" t="s">
        <v>43</v>
      </c>
      <c r="J10" s="4">
        <v>44985</v>
      </c>
      <c r="K10" s="1" t="s">
        <v>121</v>
      </c>
    </row>
    <row r="11" spans="1:11" x14ac:dyDescent="0.3">
      <c r="A11" s="1" t="s">
        <v>190</v>
      </c>
      <c r="B11" s="2" t="str">
        <f>HYPERLINK(data[[#This Row],[detail]],"click")</f>
        <v>click</v>
      </c>
      <c r="C11" s="1" t="s">
        <v>148</v>
      </c>
      <c r="D11" s="1" t="s">
        <v>149</v>
      </c>
      <c r="E11" s="1" t="s">
        <v>8</v>
      </c>
      <c r="F11" s="1" t="s">
        <v>150</v>
      </c>
      <c r="G11" s="1" t="s">
        <v>24</v>
      </c>
      <c r="H11" s="1" t="s">
        <v>10</v>
      </c>
      <c r="I11" s="1" t="s">
        <v>66</v>
      </c>
      <c r="J11" s="4">
        <v>44985</v>
      </c>
      <c r="K11" s="1" t="s">
        <v>121</v>
      </c>
    </row>
    <row r="12" spans="1:11" x14ac:dyDescent="0.3">
      <c r="A12" s="1" t="s">
        <v>190</v>
      </c>
      <c r="B12" s="2" t="str">
        <f>HYPERLINK(data[[#This Row],[detail]],"click")</f>
        <v>click</v>
      </c>
      <c r="C12" s="1" t="s">
        <v>163</v>
      </c>
      <c r="D12" s="1" t="s">
        <v>164</v>
      </c>
      <c r="E12" s="1" t="s">
        <v>12</v>
      </c>
      <c r="F12" s="1" t="s">
        <v>165</v>
      </c>
      <c r="G12" s="1" t="s">
        <v>24</v>
      </c>
      <c r="H12" s="1" t="s">
        <v>10</v>
      </c>
      <c r="I12" s="1" t="s">
        <v>53</v>
      </c>
      <c r="J12" s="4">
        <v>44985</v>
      </c>
      <c r="K12" s="1" t="s">
        <v>121</v>
      </c>
    </row>
    <row r="13" spans="1:11" x14ac:dyDescent="0.3">
      <c r="A13" s="1" t="s">
        <v>191</v>
      </c>
      <c r="B13" s="2" t="str">
        <f>HYPERLINK(data[[#This Row],[detail]],"click")</f>
        <v>click</v>
      </c>
      <c r="C13" s="1" t="s">
        <v>57</v>
      </c>
      <c r="D13" s="1" t="s">
        <v>58</v>
      </c>
      <c r="E13" s="1" t="s">
        <v>8</v>
      </c>
      <c r="F13" s="1" t="s">
        <v>59</v>
      </c>
      <c r="G13" s="1" t="s">
        <v>60</v>
      </c>
      <c r="H13" s="1" t="s">
        <v>10</v>
      </c>
      <c r="I13" s="1" t="s">
        <v>30</v>
      </c>
      <c r="J13" s="4">
        <v>44986</v>
      </c>
      <c r="K13" s="1" t="s">
        <v>121</v>
      </c>
    </row>
    <row r="14" spans="1:11" x14ac:dyDescent="0.3">
      <c r="A14" s="1" t="s">
        <v>190</v>
      </c>
      <c r="B14" s="2" t="str">
        <f>HYPERLINK(data[[#This Row],[detail]],"click")</f>
        <v>click</v>
      </c>
      <c r="C14" s="1" t="s">
        <v>80</v>
      </c>
      <c r="D14" s="1" t="s">
        <v>81</v>
      </c>
      <c r="E14" s="1" t="s">
        <v>8</v>
      </c>
      <c r="F14" s="1" t="s">
        <v>82</v>
      </c>
      <c r="G14" s="1" t="s">
        <v>18</v>
      </c>
      <c r="H14" s="1" t="s">
        <v>10</v>
      </c>
      <c r="I14" s="1" t="s">
        <v>25</v>
      </c>
      <c r="J14" s="4">
        <v>44987</v>
      </c>
      <c r="K14" s="1" t="s">
        <v>121</v>
      </c>
    </row>
    <row r="15" spans="1:11" x14ac:dyDescent="0.3">
      <c r="A15" s="1" t="s">
        <v>190</v>
      </c>
      <c r="B15" s="2" t="str">
        <f>HYPERLINK(data[[#This Row],[detail]],"click")</f>
        <v>click</v>
      </c>
      <c r="C15" s="1" t="s">
        <v>86</v>
      </c>
      <c r="D15" s="1" t="s">
        <v>87</v>
      </c>
      <c r="E15" s="1" t="s">
        <v>8</v>
      </c>
      <c r="F15" s="1" t="s">
        <v>88</v>
      </c>
      <c r="G15" s="1" t="s">
        <v>18</v>
      </c>
      <c r="H15" s="1" t="s">
        <v>10</v>
      </c>
      <c r="I15" s="1" t="s">
        <v>52</v>
      </c>
      <c r="J15" s="4">
        <v>44987</v>
      </c>
      <c r="K15" s="1" t="s">
        <v>121</v>
      </c>
    </row>
    <row r="16" spans="1:11" x14ac:dyDescent="0.3">
      <c r="A16" s="1" t="s">
        <v>190</v>
      </c>
      <c r="B16" s="2" t="str">
        <f>HYPERLINK(data[[#This Row],[detail]],"click")</f>
        <v>click</v>
      </c>
      <c r="C16" s="1" t="s">
        <v>89</v>
      </c>
      <c r="D16" s="1" t="s">
        <v>90</v>
      </c>
      <c r="E16" s="1" t="s">
        <v>8</v>
      </c>
      <c r="F16" s="1" t="s">
        <v>91</v>
      </c>
      <c r="G16" s="1" t="s">
        <v>18</v>
      </c>
      <c r="H16" s="1" t="s">
        <v>10</v>
      </c>
      <c r="I16" s="1" t="s">
        <v>26</v>
      </c>
      <c r="J16" s="4">
        <v>44987</v>
      </c>
      <c r="K16" s="1" t="s">
        <v>121</v>
      </c>
    </row>
    <row r="17" spans="1:11" x14ac:dyDescent="0.3">
      <c r="A17" s="1" t="s">
        <v>190</v>
      </c>
      <c r="B17" s="2" t="str">
        <f>HYPERLINK(data[[#This Row],[detail]],"click")</f>
        <v>click</v>
      </c>
      <c r="C17" s="1" t="s">
        <v>92</v>
      </c>
      <c r="D17" s="1" t="s">
        <v>93</v>
      </c>
      <c r="E17" s="1" t="s">
        <v>8</v>
      </c>
      <c r="F17" s="1" t="s">
        <v>94</v>
      </c>
      <c r="G17" s="1" t="s">
        <v>18</v>
      </c>
      <c r="H17" s="1" t="s">
        <v>10</v>
      </c>
      <c r="I17" s="1" t="s">
        <v>26</v>
      </c>
      <c r="J17" s="4">
        <v>44987</v>
      </c>
      <c r="K17" s="1" t="s">
        <v>121</v>
      </c>
    </row>
    <row r="18" spans="1:11" x14ac:dyDescent="0.3">
      <c r="A18" s="1" t="s">
        <v>181</v>
      </c>
      <c r="B18" s="2" t="str">
        <f>HYPERLINK(data[[#This Row],[detail]],"click")</f>
        <v>click</v>
      </c>
      <c r="C18" s="1" t="s">
        <v>31</v>
      </c>
      <c r="D18" s="1" t="s">
        <v>32</v>
      </c>
      <c r="E18" s="1" t="s">
        <v>12</v>
      </c>
      <c r="F18" s="1" t="s">
        <v>33</v>
      </c>
      <c r="G18" s="1" t="s">
        <v>34</v>
      </c>
      <c r="H18" s="1" t="s">
        <v>10</v>
      </c>
      <c r="I18" s="1" t="s">
        <v>11</v>
      </c>
      <c r="J18" s="4">
        <v>44988</v>
      </c>
      <c r="K18" s="1" t="s">
        <v>121</v>
      </c>
    </row>
    <row r="19" spans="1:11" x14ac:dyDescent="0.3">
      <c r="A19" s="1" t="s">
        <v>181</v>
      </c>
      <c r="B19" s="2" t="str">
        <f>HYPERLINK(data[[#This Row],[detail]],"click")</f>
        <v>click</v>
      </c>
      <c r="C19" s="1" t="s">
        <v>31</v>
      </c>
      <c r="D19" s="1" t="s">
        <v>39</v>
      </c>
      <c r="E19" s="1" t="s">
        <v>12</v>
      </c>
      <c r="F19" s="1" t="s">
        <v>40</v>
      </c>
      <c r="G19" s="1" t="s">
        <v>34</v>
      </c>
      <c r="H19" s="1" t="s">
        <v>10</v>
      </c>
      <c r="I19" s="1" t="s">
        <v>11</v>
      </c>
      <c r="J19" s="4">
        <v>44988</v>
      </c>
      <c r="K19" s="1" t="s">
        <v>121</v>
      </c>
    </row>
    <row r="20" spans="1:11" x14ac:dyDescent="0.3">
      <c r="A20" s="1" t="s">
        <v>181</v>
      </c>
      <c r="B20" s="2" t="str">
        <f>HYPERLINK(data[[#This Row],[detail]],"click")</f>
        <v>click</v>
      </c>
      <c r="C20" s="1" t="s">
        <v>62</v>
      </c>
      <c r="D20" s="1" t="s">
        <v>63</v>
      </c>
      <c r="E20" s="1" t="s">
        <v>64</v>
      </c>
      <c r="F20" s="1" t="s">
        <v>65</v>
      </c>
      <c r="G20" s="1" t="s">
        <v>9</v>
      </c>
      <c r="H20" s="1" t="s">
        <v>10</v>
      </c>
      <c r="I20" s="1" t="s">
        <v>66</v>
      </c>
      <c r="J20" s="4">
        <v>44988</v>
      </c>
      <c r="K20" s="1" t="s">
        <v>121</v>
      </c>
    </row>
    <row r="21" spans="1:11" x14ac:dyDescent="0.3">
      <c r="A21" s="1" t="s">
        <v>181</v>
      </c>
      <c r="B21" s="2" t="str">
        <f>HYPERLINK(data[[#This Row],[detail]],"click")</f>
        <v>click</v>
      </c>
      <c r="C21" s="1" t="s">
        <v>105</v>
      </c>
      <c r="D21" s="1" t="s">
        <v>106</v>
      </c>
      <c r="E21" s="1" t="s">
        <v>8</v>
      </c>
      <c r="F21" s="1" t="s">
        <v>107</v>
      </c>
      <c r="G21" s="1" t="s">
        <v>9</v>
      </c>
      <c r="H21" s="1" t="s">
        <v>10</v>
      </c>
      <c r="I21" s="1" t="s">
        <v>53</v>
      </c>
      <c r="J21" s="4">
        <v>44988</v>
      </c>
      <c r="K21" s="1" t="s">
        <v>121</v>
      </c>
    </row>
    <row r="22" spans="1:11" x14ac:dyDescent="0.3">
      <c r="A22" s="1" t="s">
        <v>181</v>
      </c>
      <c r="B22" s="2" t="str">
        <f>HYPERLINK(data[[#This Row],[detail]],"click")</f>
        <v>click</v>
      </c>
      <c r="C22" s="1" t="s">
        <v>115</v>
      </c>
      <c r="D22" s="1" t="s">
        <v>116</v>
      </c>
      <c r="E22" s="1" t="s">
        <v>8</v>
      </c>
      <c r="F22" s="1" t="s">
        <v>117</v>
      </c>
      <c r="G22" s="1" t="s">
        <v>24</v>
      </c>
      <c r="H22" s="1" t="s">
        <v>10</v>
      </c>
      <c r="I22" s="1" t="s">
        <v>19</v>
      </c>
      <c r="J22" s="4">
        <v>44988</v>
      </c>
      <c r="K22" s="1" t="s">
        <v>121</v>
      </c>
    </row>
    <row r="23" spans="1:11" x14ac:dyDescent="0.3">
      <c r="A23" s="1" t="s">
        <v>190</v>
      </c>
      <c r="B23" s="2" t="str">
        <f>HYPERLINK(data[[#This Row],[detail]],"click")</f>
        <v>click</v>
      </c>
      <c r="C23" s="1" t="s">
        <v>122</v>
      </c>
      <c r="D23" s="1" t="s">
        <v>123</v>
      </c>
      <c r="E23" s="1" t="s">
        <v>8</v>
      </c>
      <c r="F23" s="1" t="s">
        <v>124</v>
      </c>
      <c r="G23" s="1" t="s">
        <v>18</v>
      </c>
      <c r="H23" s="1" t="s">
        <v>10</v>
      </c>
      <c r="I23" s="1" t="s">
        <v>11</v>
      </c>
      <c r="J23" s="4">
        <v>44988</v>
      </c>
      <c r="K23" s="1" t="s">
        <v>121</v>
      </c>
    </row>
    <row r="24" spans="1:11" x14ac:dyDescent="0.3">
      <c r="A24" s="1" t="s">
        <v>181</v>
      </c>
      <c r="B24" s="2" t="str">
        <f>HYPERLINK(data[[#This Row],[detail]],"click")</f>
        <v>click</v>
      </c>
      <c r="C24" s="1" t="s">
        <v>130</v>
      </c>
      <c r="D24" s="1" t="s">
        <v>131</v>
      </c>
      <c r="E24" s="1" t="s">
        <v>8</v>
      </c>
      <c r="F24" s="1" t="s">
        <v>132</v>
      </c>
      <c r="G24" s="1" t="s">
        <v>24</v>
      </c>
      <c r="H24" s="1" t="s">
        <v>10</v>
      </c>
      <c r="I24" s="1" t="s">
        <v>26</v>
      </c>
      <c r="J24" s="4">
        <v>44988</v>
      </c>
      <c r="K24" s="1" t="s">
        <v>121</v>
      </c>
    </row>
    <row r="25" spans="1:11" x14ac:dyDescent="0.3">
      <c r="A25" s="1" t="s">
        <v>190</v>
      </c>
      <c r="B25" s="2" t="str">
        <f>HYPERLINK(data[[#This Row],[detail]],"click")</f>
        <v>click</v>
      </c>
      <c r="C25" s="1" t="s">
        <v>153</v>
      </c>
      <c r="D25" s="1" t="s">
        <v>154</v>
      </c>
      <c r="E25" s="1" t="s">
        <v>8</v>
      </c>
      <c r="F25" s="1" t="s">
        <v>155</v>
      </c>
      <c r="G25" s="1" t="s">
        <v>24</v>
      </c>
      <c r="H25" s="1" t="s">
        <v>10</v>
      </c>
      <c r="I25" s="1" t="s">
        <v>26</v>
      </c>
      <c r="J25" s="4">
        <v>44988</v>
      </c>
      <c r="K25" s="1" t="s">
        <v>121</v>
      </c>
    </row>
    <row r="26" spans="1:11" x14ac:dyDescent="0.3">
      <c r="A26" s="1" t="s">
        <v>190</v>
      </c>
      <c r="B26" s="2" t="str">
        <f>HYPERLINK(data[[#This Row],[detail]],"click")</f>
        <v>click</v>
      </c>
      <c r="C26" s="1" t="s">
        <v>156</v>
      </c>
      <c r="D26" s="1" t="s">
        <v>157</v>
      </c>
      <c r="E26" s="1" t="s">
        <v>12</v>
      </c>
      <c r="F26" s="1" t="s">
        <v>158</v>
      </c>
      <c r="G26" s="1" t="s">
        <v>24</v>
      </c>
      <c r="H26" s="1" t="s">
        <v>10</v>
      </c>
      <c r="I26" s="1" t="s">
        <v>159</v>
      </c>
      <c r="J26" s="4">
        <v>44988</v>
      </c>
      <c r="K26" s="1" t="s">
        <v>121</v>
      </c>
    </row>
    <row r="27" spans="1:11" x14ac:dyDescent="0.3">
      <c r="A27" s="1" t="s">
        <v>190</v>
      </c>
      <c r="B27" s="2" t="str">
        <f>HYPERLINK(data[[#This Row],[detail]],"click")</f>
        <v>click</v>
      </c>
      <c r="C27" s="1" t="s">
        <v>166</v>
      </c>
      <c r="D27" s="1" t="s">
        <v>167</v>
      </c>
      <c r="E27" s="1" t="s">
        <v>8</v>
      </c>
      <c r="F27" s="1" t="s">
        <v>168</v>
      </c>
      <c r="G27" s="1" t="s">
        <v>24</v>
      </c>
      <c r="H27" s="1" t="s">
        <v>10</v>
      </c>
      <c r="I27" s="1" t="s">
        <v>98</v>
      </c>
      <c r="J27" s="4">
        <v>44988</v>
      </c>
      <c r="K27" s="1" t="s">
        <v>121</v>
      </c>
    </row>
    <row r="28" spans="1:11" x14ac:dyDescent="0.3">
      <c r="A28" s="1" t="s">
        <v>182</v>
      </c>
      <c r="B28" s="2" t="str">
        <f>HYPERLINK(data[[#This Row],[detail]],"click")</f>
        <v>click</v>
      </c>
      <c r="C28" s="1" t="s">
        <v>169</v>
      </c>
      <c r="D28" s="1" t="s">
        <v>170</v>
      </c>
      <c r="E28" s="1" t="s">
        <v>12</v>
      </c>
      <c r="F28" s="1" t="s">
        <v>171</v>
      </c>
      <c r="G28" s="1" t="s">
        <v>9</v>
      </c>
      <c r="H28" s="1" t="s">
        <v>10</v>
      </c>
      <c r="I28" s="1" t="s">
        <v>172</v>
      </c>
      <c r="J28" s="4">
        <v>44988</v>
      </c>
      <c r="K28" s="1" t="s">
        <v>121</v>
      </c>
    </row>
    <row r="29" spans="1:11" x14ac:dyDescent="0.3">
      <c r="A29" s="1" t="s">
        <v>190</v>
      </c>
      <c r="B29" s="2" t="str">
        <f>HYPERLINK(data[[#This Row],[detail]],"click")</f>
        <v>click</v>
      </c>
      <c r="C29" s="1" t="s">
        <v>125</v>
      </c>
      <c r="D29" s="1" t="s">
        <v>126</v>
      </c>
      <c r="E29" s="1" t="s">
        <v>12</v>
      </c>
      <c r="F29" s="1" t="s">
        <v>127</v>
      </c>
      <c r="G29" s="1" t="s">
        <v>128</v>
      </c>
      <c r="H29" s="1" t="s">
        <v>10</v>
      </c>
      <c r="I29" s="1" t="s">
        <v>129</v>
      </c>
      <c r="J29" s="4">
        <v>44989</v>
      </c>
      <c r="K29" s="1" t="s">
        <v>121</v>
      </c>
    </row>
    <row r="30" spans="1:11" x14ac:dyDescent="0.3">
      <c r="A30" s="1" t="s">
        <v>190</v>
      </c>
      <c r="B30" s="2" t="str">
        <f>HYPERLINK(data[[#This Row],[detail]],"click")</f>
        <v>click</v>
      </c>
      <c r="C30" s="1" t="s">
        <v>108</v>
      </c>
      <c r="D30" s="1" t="s">
        <v>109</v>
      </c>
      <c r="E30" s="1" t="s">
        <v>8</v>
      </c>
      <c r="F30" s="1" t="s">
        <v>110</v>
      </c>
      <c r="G30" s="1" t="s">
        <v>24</v>
      </c>
      <c r="H30" s="1" t="s">
        <v>10</v>
      </c>
      <c r="I30" s="1" t="s">
        <v>111</v>
      </c>
      <c r="J30" s="4">
        <v>44990</v>
      </c>
      <c r="K30" s="1" t="s">
        <v>121</v>
      </c>
    </row>
    <row r="31" spans="1:11" x14ac:dyDescent="0.3">
      <c r="B31" s="2" t="str">
        <f>HYPERLINK(data[[#This Row],[detail]],"click")</f>
        <v>click</v>
      </c>
      <c r="C31" s="1" t="s">
        <v>44</v>
      </c>
      <c r="D31" s="1" t="s">
        <v>45</v>
      </c>
      <c r="E31" s="1" t="s">
        <v>12</v>
      </c>
      <c r="F31" s="1" t="s">
        <v>46</v>
      </c>
      <c r="G31" s="1" t="s">
        <v>35</v>
      </c>
      <c r="H31" s="1" t="s">
        <v>10</v>
      </c>
      <c r="I31" s="1" t="s">
        <v>47</v>
      </c>
      <c r="J31" s="4">
        <v>44992</v>
      </c>
      <c r="K31" s="1" t="s">
        <v>121</v>
      </c>
    </row>
    <row r="32" spans="1:11" x14ac:dyDescent="0.3">
      <c r="B32" s="2" t="str">
        <f>HYPERLINK(data[[#This Row],[detail]],"click")</f>
        <v>click</v>
      </c>
      <c r="C32" s="1" t="s">
        <v>70</v>
      </c>
      <c r="D32" s="1" t="s">
        <v>75</v>
      </c>
      <c r="E32" s="1" t="s">
        <v>8</v>
      </c>
      <c r="F32" s="1" t="s">
        <v>76</v>
      </c>
      <c r="G32" s="1" t="s">
        <v>73</v>
      </c>
      <c r="H32" s="1" t="s">
        <v>10</v>
      </c>
      <c r="I32" s="1" t="s">
        <v>74</v>
      </c>
      <c r="J32" s="4">
        <v>44992</v>
      </c>
      <c r="K32" s="1" t="s">
        <v>121</v>
      </c>
    </row>
    <row r="33" spans="1:11" x14ac:dyDescent="0.3">
      <c r="B33" s="2" t="str">
        <f>HYPERLINK(data[[#This Row],[detail]],"click")</f>
        <v>click</v>
      </c>
      <c r="C33" s="1" t="s">
        <v>83</v>
      </c>
      <c r="D33" s="1" t="s">
        <v>84</v>
      </c>
      <c r="E33" s="1" t="s">
        <v>8</v>
      </c>
      <c r="F33" s="1" t="s">
        <v>85</v>
      </c>
      <c r="G33" s="1" t="s">
        <v>24</v>
      </c>
      <c r="H33" s="1" t="s">
        <v>10</v>
      </c>
      <c r="I33" s="1" t="s">
        <v>53</v>
      </c>
      <c r="J33" s="4">
        <v>44992</v>
      </c>
      <c r="K33" s="1" t="s">
        <v>121</v>
      </c>
    </row>
    <row r="34" spans="1:11" x14ac:dyDescent="0.3">
      <c r="A34" s="1" t="s">
        <v>190</v>
      </c>
      <c r="B34" s="2" t="str">
        <f>HYPERLINK(data[[#This Row],[detail]],"click")</f>
        <v>click</v>
      </c>
      <c r="C34" s="1" t="s">
        <v>148</v>
      </c>
      <c r="D34" s="1" t="s">
        <v>151</v>
      </c>
      <c r="E34" s="1" t="s">
        <v>12</v>
      </c>
      <c r="F34" s="1" t="s">
        <v>152</v>
      </c>
      <c r="G34" s="1" t="s">
        <v>24</v>
      </c>
      <c r="H34" s="1" t="s">
        <v>10</v>
      </c>
      <c r="I34" s="1" t="s">
        <v>66</v>
      </c>
      <c r="J34" s="4">
        <v>44993</v>
      </c>
      <c r="K34" s="1" t="s">
        <v>121</v>
      </c>
    </row>
    <row r="35" spans="1:11" x14ac:dyDescent="0.3">
      <c r="B35" s="2" t="str">
        <f>HYPERLINK(data[[#This Row],[detail]],"click")</f>
        <v>click</v>
      </c>
      <c r="C35" s="1" t="s">
        <v>99</v>
      </c>
      <c r="D35" s="1" t="s">
        <v>100</v>
      </c>
      <c r="E35" s="1" t="s">
        <v>12</v>
      </c>
      <c r="F35" s="1" t="s">
        <v>101</v>
      </c>
      <c r="G35" s="1" t="s">
        <v>73</v>
      </c>
      <c r="H35" s="1" t="s">
        <v>10</v>
      </c>
      <c r="I35" s="1" t="s">
        <v>53</v>
      </c>
      <c r="J35" s="4">
        <v>44994</v>
      </c>
      <c r="K35" s="1" t="s">
        <v>121</v>
      </c>
    </row>
    <row r="36" spans="1:11" x14ac:dyDescent="0.3">
      <c r="B36" s="2" t="str">
        <f>HYPERLINK(data[[#This Row],[detail]],"click")</f>
        <v>click</v>
      </c>
      <c r="C36" s="1" t="s">
        <v>102</v>
      </c>
      <c r="D36" s="1" t="s">
        <v>103</v>
      </c>
      <c r="E36" s="1" t="s">
        <v>12</v>
      </c>
      <c r="F36" s="1" t="s">
        <v>104</v>
      </c>
      <c r="G36" s="1" t="s">
        <v>9</v>
      </c>
      <c r="H36" s="1" t="s">
        <v>10</v>
      </c>
      <c r="I36" s="1" t="s">
        <v>53</v>
      </c>
      <c r="J36" s="4">
        <v>44994</v>
      </c>
      <c r="K36" s="1" t="s">
        <v>121</v>
      </c>
    </row>
    <row r="37" spans="1:11" x14ac:dyDescent="0.3">
      <c r="B37" s="2" t="str">
        <f>HYPERLINK(data[[#This Row],[detail]],"click")</f>
        <v>click</v>
      </c>
      <c r="C37" s="1" t="s">
        <v>183</v>
      </c>
      <c r="D37" s="1" t="s">
        <v>184</v>
      </c>
      <c r="E37" s="1" t="s">
        <v>8</v>
      </c>
      <c r="F37" s="1" t="s">
        <v>185</v>
      </c>
      <c r="G37" s="1" t="s">
        <v>186</v>
      </c>
      <c r="H37" s="1" t="s">
        <v>10</v>
      </c>
      <c r="I37" s="1" t="s">
        <v>26</v>
      </c>
      <c r="J37" s="4">
        <v>44994</v>
      </c>
      <c r="K37" s="1" t="s">
        <v>121</v>
      </c>
    </row>
    <row r="38" spans="1:11" x14ac:dyDescent="0.3">
      <c r="A38" s="1" t="s">
        <v>190</v>
      </c>
      <c r="B38" s="2" t="str">
        <f>HYPERLINK(data[[#This Row],[detail]],"click")</f>
        <v>click</v>
      </c>
      <c r="C38" s="1" t="s">
        <v>142</v>
      </c>
      <c r="D38" s="1" t="s">
        <v>143</v>
      </c>
      <c r="E38" s="1" t="s">
        <v>12</v>
      </c>
      <c r="F38" s="1" t="s">
        <v>144</v>
      </c>
      <c r="G38" s="1" t="s">
        <v>24</v>
      </c>
      <c r="H38" s="1" t="s">
        <v>10</v>
      </c>
      <c r="I38" s="1" t="s">
        <v>61</v>
      </c>
      <c r="J38" s="4">
        <v>44994</v>
      </c>
      <c r="K38" s="1" t="s">
        <v>121</v>
      </c>
    </row>
    <row r="39" spans="1:11" x14ac:dyDescent="0.3">
      <c r="A39" s="1" t="s">
        <v>190</v>
      </c>
      <c r="B39" s="2" t="str">
        <f>HYPERLINK(data[[#This Row],[detail]],"click")</f>
        <v>click</v>
      </c>
      <c r="C39" s="1" t="s">
        <v>160</v>
      </c>
      <c r="D39" s="1" t="s">
        <v>161</v>
      </c>
      <c r="E39" s="1" t="s">
        <v>12</v>
      </c>
      <c r="F39" s="1" t="s">
        <v>162</v>
      </c>
      <c r="G39" s="1" t="s">
        <v>24</v>
      </c>
      <c r="H39" s="1" t="s">
        <v>10</v>
      </c>
      <c r="I39" s="1" t="s">
        <v>53</v>
      </c>
      <c r="J39" s="4">
        <v>44994</v>
      </c>
      <c r="K39" s="1" t="s">
        <v>121</v>
      </c>
    </row>
    <row r="40" spans="1:11" x14ac:dyDescent="0.3">
      <c r="A40" s="1" t="s">
        <v>190</v>
      </c>
      <c r="B40" s="2" t="str">
        <f>HYPERLINK(data[[#This Row],[detail]],"click")</f>
        <v>click</v>
      </c>
      <c r="C40" s="1" t="s">
        <v>20</v>
      </c>
      <c r="D40" s="1" t="s">
        <v>21</v>
      </c>
      <c r="E40" s="1" t="s">
        <v>8</v>
      </c>
      <c r="F40" s="1" t="s">
        <v>22</v>
      </c>
      <c r="G40" s="1" t="s">
        <v>9</v>
      </c>
      <c r="H40" s="1" t="s">
        <v>10</v>
      </c>
      <c r="I40" s="1" t="s">
        <v>23</v>
      </c>
      <c r="J40" s="4">
        <v>44995</v>
      </c>
      <c r="K40" s="1" t="s">
        <v>121</v>
      </c>
    </row>
    <row r="41" spans="1:11" x14ac:dyDescent="0.3">
      <c r="B41" s="2" t="str">
        <f>HYPERLINK(data[[#This Row],[detail]],"click")</f>
        <v>click</v>
      </c>
      <c r="C41" s="1" t="s">
        <v>54</v>
      </c>
      <c r="D41" s="1" t="s">
        <v>55</v>
      </c>
      <c r="E41" s="1" t="s">
        <v>12</v>
      </c>
      <c r="F41" s="1" t="s">
        <v>56</v>
      </c>
      <c r="G41" s="1" t="s">
        <v>35</v>
      </c>
      <c r="H41" s="1" t="s">
        <v>10</v>
      </c>
      <c r="I41" s="1" t="s">
        <v>23</v>
      </c>
      <c r="J41" s="4">
        <v>44995</v>
      </c>
      <c r="K41" s="1" t="s">
        <v>121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95</v>
      </c>
      <c r="D42" s="1" t="s">
        <v>96</v>
      </c>
      <c r="E42" s="1" t="s">
        <v>12</v>
      </c>
      <c r="F42" s="1" t="s">
        <v>97</v>
      </c>
      <c r="G42" s="1" t="s">
        <v>18</v>
      </c>
      <c r="H42" s="1" t="s">
        <v>10</v>
      </c>
      <c r="I42" s="1" t="s">
        <v>98</v>
      </c>
      <c r="J42" s="4">
        <v>44995</v>
      </c>
      <c r="K42" s="1" t="s">
        <v>121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173</v>
      </c>
      <c r="D43" s="1" t="s">
        <v>174</v>
      </c>
      <c r="E43" s="1" t="s">
        <v>12</v>
      </c>
      <c r="F43" s="1" t="s">
        <v>175</v>
      </c>
      <c r="G43" s="1" t="s">
        <v>176</v>
      </c>
      <c r="H43" s="1" t="s">
        <v>10</v>
      </c>
      <c r="I43" s="1" t="s">
        <v>177</v>
      </c>
      <c r="J43" s="4">
        <v>44997</v>
      </c>
      <c r="K43" s="1" t="s">
        <v>121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187</v>
      </c>
      <c r="D44" s="1" t="s">
        <v>188</v>
      </c>
      <c r="E44" s="1" t="s">
        <v>12</v>
      </c>
      <c r="F44" s="1" t="s">
        <v>189</v>
      </c>
      <c r="G44" s="1" t="s">
        <v>9</v>
      </c>
      <c r="H44" s="1" t="s">
        <v>10</v>
      </c>
      <c r="I44" s="1" t="s">
        <v>43</v>
      </c>
      <c r="J44" s="4">
        <v>45000</v>
      </c>
      <c r="K44" s="1" t="s">
        <v>121</v>
      </c>
    </row>
    <row r="45" spans="1:11" x14ac:dyDescent="0.3">
      <c r="A45" s="1" t="str">
        <f>data[[#This Row],[status]]</f>
        <v/>
      </c>
      <c r="B45" s="2" t="str">
        <f>HYPERLINK(data[[#This Row],[detail]],"click")</f>
        <v>click</v>
      </c>
      <c r="C45" s="1" t="s">
        <v>136</v>
      </c>
      <c r="D45" s="1" t="s">
        <v>137</v>
      </c>
      <c r="E45" s="1" t="s">
        <v>8</v>
      </c>
      <c r="F45" s="1" t="s">
        <v>138</v>
      </c>
      <c r="G45" s="1" t="s">
        <v>24</v>
      </c>
      <c r="H45" s="1" t="s">
        <v>10</v>
      </c>
      <c r="I45" s="1" t="s">
        <v>66</v>
      </c>
      <c r="J45" s="4">
        <v>45000</v>
      </c>
      <c r="K45" s="1" t="s">
        <v>121</v>
      </c>
    </row>
    <row r="46" spans="1:11" x14ac:dyDescent="0.3">
      <c r="A46" s="1" t="str">
        <f>data[[#This Row],[status]]</f>
        <v/>
      </c>
      <c r="B46" s="2" t="str">
        <f>HYPERLINK(data[[#This Row],[detail]],"click")</f>
        <v>click</v>
      </c>
      <c r="C46" s="1" t="s">
        <v>27</v>
      </c>
      <c r="D46" s="1" t="s">
        <v>28</v>
      </c>
      <c r="E46" s="1" t="s">
        <v>12</v>
      </c>
      <c r="F46" s="1" t="s">
        <v>29</v>
      </c>
      <c r="G46" s="1" t="s">
        <v>9</v>
      </c>
      <c r="H46" s="1" t="s">
        <v>10</v>
      </c>
      <c r="I46" s="1" t="s">
        <v>30</v>
      </c>
      <c r="J46" s="4">
        <v>45002</v>
      </c>
      <c r="K46" s="1" t="s">
        <v>121</v>
      </c>
    </row>
    <row r="47" spans="1:11" x14ac:dyDescent="0.3">
      <c r="A47" s="1" t="str">
        <f>data[[#This Row],[status]]</f>
        <v/>
      </c>
      <c r="B47" s="2" t="str">
        <f>HYPERLINK(data[[#This Row],[detail]],"click")</f>
        <v>click</v>
      </c>
      <c r="C47" s="1" t="s">
        <v>67</v>
      </c>
      <c r="D47" s="1" t="s">
        <v>68</v>
      </c>
      <c r="E47" s="1" t="s">
        <v>12</v>
      </c>
      <c r="F47" s="1" t="s">
        <v>69</v>
      </c>
      <c r="G47" s="1" t="s">
        <v>34</v>
      </c>
      <c r="H47" s="1" t="s">
        <v>10</v>
      </c>
      <c r="I47" s="1" t="s">
        <v>42</v>
      </c>
      <c r="J47" s="4">
        <v>45002</v>
      </c>
      <c r="K47" s="1" t="s">
        <v>121</v>
      </c>
    </row>
    <row r="48" spans="1:11" x14ac:dyDescent="0.3">
      <c r="A48" s="1" t="str">
        <f>data[[#This Row],[status]]</f>
        <v/>
      </c>
      <c r="B48" s="2" t="str">
        <f>HYPERLINK(data[[#This Row],[detail]],"click")</f>
        <v>click</v>
      </c>
      <c r="C48" s="1" t="s">
        <v>112</v>
      </c>
      <c r="D48" s="1" t="s">
        <v>113</v>
      </c>
      <c r="E48" s="1" t="s">
        <v>12</v>
      </c>
      <c r="F48" s="1" t="s">
        <v>114</v>
      </c>
      <c r="G48" s="1" t="s">
        <v>9</v>
      </c>
      <c r="H48" s="1" t="s">
        <v>10</v>
      </c>
      <c r="I48" s="1" t="s">
        <v>26</v>
      </c>
      <c r="J48" s="4">
        <v>45006</v>
      </c>
      <c r="K48" s="1" t="s">
        <v>121</v>
      </c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15" priority="4">
      <formula>$A1="completed"</formula>
    </cfRule>
    <cfRule type="expression" dxfId="14" priority="3">
      <formula>$A1="working on it"</formula>
    </cfRule>
    <cfRule type="expression" dxfId="13" priority="2">
      <formula>$A1="not interested"</formula>
    </cfRule>
    <cfRule type="expression" dxfId="12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2023-03-01T02:15:44Z</dcterms:modified>
</cp:coreProperties>
</file>