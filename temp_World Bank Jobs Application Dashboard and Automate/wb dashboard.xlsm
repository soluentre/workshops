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hops\temp_World Bank Jobs Application Dashboard and Automate\"/>
    </mc:Choice>
  </mc:AlternateContent>
  <xr:revisionPtr revIDLastSave="0" documentId="13_ncr:1_{7FF6DCA0-89E5-4871-8615-7B9A1F6B6585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ashboard" sheetId="3" r:id="rId1"/>
  </sheets>
  <definedNames>
    <definedName name="ExternalData_1" localSheetId="0" hidden="1">dashboard!$C$1:$K$59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9A1E18-91C4-46B4-9DF8-70B1A13E8891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<sst xmlns="http://schemas.openxmlformats.org/spreadsheetml/2006/main" count="476" uniqueCount="220">
  <si>
    <t>title</t>
  </si>
  <si>
    <t>detail</t>
  </si>
  <si>
    <t>instit</t>
  </si>
  <si>
    <t>code</t>
  </si>
  <si>
    <t>grade</t>
  </si>
  <si>
    <t>location</t>
  </si>
  <si>
    <t>topic</t>
  </si>
  <si>
    <t>ddl</t>
  </si>
  <si>
    <t>(Associate) Operations Officer</t>
  </si>
  <si>
    <t>https://worldbankgroup.csod.com/ats/careersite/JobDetails.aspx?id=21123&amp;site=1</t>
  </si>
  <si>
    <t>IFC</t>
  </si>
  <si>
    <t>req21123</t>
  </si>
  <si>
    <t>GF</t>
  </si>
  <si>
    <t>Washington, DC,United States</t>
  </si>
  <si>
    <t>Climate Change</t>
  </si>
  <si>
    <t>Accounting Officer - Quality Assurance</t>
  </si>
  <si>
    <t>https://worldbankgroup.csod.com/ats/careersite/JobDetails.aspx?id=21132&amp;site=1</t>
  </si>
  <si>
    <t>World Bank</t>
  </si>
  <si>
    <t>req21132</t>
  </si>
  <si>
    <t>Finance &amp; Accounting</t>
  </si>
  <si>
    <t>Accounting Officer - Travel</t>
  </si>
  <si>
    <t>https://worldbankgroup.csod.com/ats/careersite/JobDetails.aspx?id=21109&amp;site=1</t>
  </si>
  <si>
    <t>req21109</t>
  </si>
  <si>
    <t>Associate Portfolio Officer</t>
  </si>
  <si>
    <t>https://worldbankgroup.csod.com/ats/careersite/JobDetails.aspx?id=21322&amp;site=1</t>
  </si>
  <si>
    <t>req21322</t>
  </si>
  <si>
    <t>Risk</t>
  </si>
  <si>
    <t>GH</t>
  </si>
  <si>
    <t>Investment</t>
  </si>
  <si>
    <t>Communications Officer</t>
  </si>
  <si>
    <t>https://worldbankgroup.csod.com/ats/careersite/JobDetails.aspx?id=21368&amp;site=1</t>
  </si>
  <si>
    <t>req21368</t>
  </si>
  <si>
    <t>Communications</t>
  </si>
  <si>
    <t>GG</t>
  </si>
  <si>
    <t>Operations</t>
  </si>
  <si>
    <t>Other</t>
  </si>
  <si>
    <t>Dispute Resolution Officer</t>
  </si>
  <si>
    <t>https://worldbankgroup.csod.com/ats/careersite/JobDetails.aspx?id=21432&amp;site=1</t>
  </si>
  <si>
    <t>req21432</t>
  </si>
  <si>
    <t>Administration/Office Support</t>
  </si>
  <si>
    <t>E T Consultant</t>
  </si>
  <si>
    <t>https://worldbankgroup.csod.com/ats/careersite/JobDetails.aspx?id=21174&amp;site=1</t>
  </si>
  <si>
    <t>req21174</t>
  </si>
  <si>
    <t>EC1</t>
  </si>
  <si>
    <t>https://worldbankgroup.csod.com/ats/careersite/JobDetails.aspx?id=21183&amp;site=1</t>
  </si>
  <si>
    <t>req21183</t>
  </si>
  <si>
    <t>EC2</t>
  </si>
  <si>
    <t>https://worldbankgroup.csod.com/ats/careersite/JobDetails.aspx?id=21241&amp;site=1</t>
  </si>
  <si>
    <t>req21241</t>
  </si>
  <si>
    <t>https://worldbankgroup.csod.com/ats/careersite/JobDetails.aspx?id=21250&amp;site=1</t>
  </si>
  <si>
    <t>req21250</t>
  </si>
  <si>
    <t>Poverty Reduction</t>
  </si>
  <si>
    <t>https://worldbankgroup.csod.com/ats/careersite/JobDetails.aspx?id=21276&amp;site=1</t>
  </si>
  <si>
    <t>req21276</t>
  </si>
  <si>
    <t>https://worldbankgroup.csod.com/ats/careersite/JobDetails.aspx?id=21288&amp;site=1</t>
  </si>
  <si>
    <t>req21288</t>
  </si>
  <si>
    <t>Energy</t>
  </si>
  <si>
    <t>EC3</t>
  </si>
  <si>
    <t>Digital Development</t>
  </si>
  <si>
    <t>Information Technology</t>
  </si>
  <si>
    <t>E T Consultant - Communication Specialist</t>
  </si>
  <si>
    <t>https://worldbankgroup.csod.com/ats/careersite/JobDetails.aspx?id=21398&amp;site=1</t>
  </si>
  <si>
    <t>req21398</t>
  </si>
  <si>
    <t>Health/Nutrition/Population</t>
  </si>
  <si>
    <t>E T Consultant - Knowledge Management</t>
  </si>
  <si>
    <t>https://worldbankgroup.csod.com/ats/careersite/JobDetails.aspx?id=21379&amp;site=1</t>
  </si>
  <si>
    <t>req21379</t>
  </si>
  <si>
    <t>Knowledge Management</t>
  </si>
  <si>
    <t>Financial Sector</t>
  </si>
  <si>
    <t>Human Resources</t>
  </si>
  <si>
    <t>E T Consultant, FCV</t>
  </si>
  <si>
    <t>https://worldbankgroup.csod.com/ats/careersite/JobDetails.aspx?id=21413&amp;site=1</t>
  </si>
  <si>
    <t>req21413</t>
  </si>
  <si>
    <t>E T Temporary</t>
  </si>
  <si>
    <t>https://worldbankgroup.csod.com/ats/careersite/JobDetails.aspx?id=21321&amp;site=1</t>
  </si>
  <si>
    <t>req21321</t>
  </si>
  <si>
    <t>ET3</t>
  </si>
  <si>
    <t>Economics</t>
  </si>
  <si>
    <t>Environmental and Social Development Specialist</t>
  </si>
  <si>
    <t>https://worldbankgroup.csod.com/ats/careersite/JobDetails.aspx?id=21278&amp;site=1</t>
  </si>
  <si>
    <t>MIGA</t>
  </si>
  <si>
    <t>req21278</t>
  </si>
  <si>
    <t>Environment</t>
  </si>
  <si>
    <t>Environmental Specialist</t>
  </si>
  <si>
    <t>https://worldbankgroup.csod.com/ats/careersite/JobDetails.aspx?id=21116&amp;site=1</t>
  </si>
  <si>
    <t>req21116</t>
  </si>
  <si>
    <t>https://worldbankgroup.csod.com/ats/careersite/JobDetails.aspx?id=21225&amp;site=1</t>
  </si>
  <si>
    <t>req21225</t>
  </si>
  <si>
    <t>ET Consultant - Digital Development Analyst</t>
  </si>
  <si>
    <t>https://worldbankgroup.csod.com/ats/careersite/JobDetails.aspx?id=21429&amp;site=1</t>
  </si>
  <si>
    <t>req21429</t>
  </si>
  <si>
    <t>Finance Analyst</t>
  </si>
  <si>
    <t>https://worldbankgroup.csod.com/ats/careersite/JobDetails.aspx?id=21265&amp;site=1</t>
  </si>
  <si>
    <t>req21265</t>
  </si>
  <si>
    <t>GE</t>
  </si>
  <si>
    <t>Budget</t>
  </si>
  <si>
    <t>https://worldbankgroup.csod.com/ats/careersite/JobDetails.aspx?id=21393&amp;site=1</t>
  </si>
  <si>
    <t>req21393</t>
  </si>
  <si>
    <t>Financial Analyst</t>
  </si>
  <si>
    <t>https://worldbankgroup.csod.com/ats/careersite/JobDetails.aspx?id=21157&amp;site=1</t>
  </si>
  <si>
    <t>req21157</t>
  </si>
  <si>
    <t>Global Manager, Corporate Portfolio Management, Debts &amp; Operations</t>
  </si>
  <si>
    <t>https://worldbankgroup.csod.com/ats/careersite/JobDetails.aspx?id=21243&amp;site=1</t>
  </si>
  <si>
    <t>req21243</t>
  </si>
  <si>
    <t>Global Recruitment Team Lead (Senior HR Officer II)</t>
  </si>
  <si>
    <t>https://worldbankgroup.csod.com/ats/careersite/JobDetails.aspx?id=21403&amp;site=1</t>
  </si>
  <si>
    <t>req21403</t>
  </si>
  <si>
    <t>Global Sector Manager, FIG Business Support</t>
  </si>
  <si>
    <t>https://worldbankgroup.csod.com/ats/careersite/JobDetails.aspx?id=21247&amp;site=1</t>
  </si>
  <si>
    <t>req21247</t>
  </si>
  <si>
    <t>Global Senior Sector Manager, MAS, Agribusiness &amp; Forestry</t>
  </si>
  <si>
    <t>https://worldbankgroup.csod.com/ats/careersite/JobDetails.aspx?id=21244&amp;site=1</t>
  </si>
  <si>
    <t>req21244</t>
  </si>
  <si>
    <t>Global Senior Sector Manager, MAS, Tourism, Retail and Property</t>
  </si>
  <si>
    <t>https://worldbankgroup.csod.com/ats/careersite/JobDetails.aspx?id=21251&amp;site=1</t>
  </si>
  <si>
    <t>req21251</t>
  </si>
  <si>
    <t>Head</t>
  </si>
  <si>
    <t>https://worldbankgroup.csod.com/ats/careersite/JobDetails.aspx?id=21327&amp;site=1</t>
  </si>
  <si>
    <t>req21327</t>
  </si>
  <si>
    <t>Infrastructure</t>
  </si>
  <si>
    <t>HR Analyst, Client Services</t>
  </si>
  <si>
    <t>https://worldbankgroup.csod.com/ats/careersite/JobDetails.aspx?id=21433&amp;site=1</t>
  </si>
  <si>
    <t>req21433</t>
  </si>
  <si>
    <t>HR Specialist, Talent Attraction</t>
  </si>
  <si>
    <t>https://worldbankgroup.csod.com/ats/careersite/JobDetails.aspx?id=21353&amp;site=1</t>
  </si>
  <si>
    <t>req21353</t>
  </si>
  <si>
    <t>Human Resources Officer, Rewards and Incentives</t>
  </si>
  <si>
    <t>https://worldbankgroup.csod.com/ats/careersite/JobDetails.aspx?id=21371&amp;site=1</t>
  </si>
  <si>
    <t>req21371</t>
  </si>
  <si>
    <t>Industry Specialist</t>
  </si>
  <si>
    <t>https://worldbankgroup.csod.com/ats/careersite/JobDetails.aspx?id=21125&amp;site=1</t>
  </si>
  <si>
    <t>req21125</t>
  </si>
  <si>
    <t>Mining/Geology</t>
  </si>
  <si>
    <t>Investigator</t>
  </si>
  <si>
    <t>https://worldbankgroup.csod.com/ats/careersite/JobDetails.aspx?id=21337&amp;site=1</t>
  </si>
  <si>
    <t>req21337</t>
  </si>
  <si>
    <t>Investment Officer</t>
  </si>
  <si>
    <t>https://worldbankgroup.csod.com/ats/careersite/JobDetails.aspx?id=21319&amp;site=1</t>
  </si>
  <si>
    <t>req21319</t>
  </si>
  <si>
    <t>IT Analyst, Cloud Application Development</t>
  </si>
  <si>
    <t>https://worldbankgroup.csod.com/ats/careersite/JobDetails.aspx?id=21324&amp;site=1</t>
  </si>
  <si>
    <t>req21324</t>
  </si>
  <si>
    <t>IT Officer, IT Service Continuity</t>
  </si>
  <si>
    <t>https://worldbankgroup.csod.com/ats/careersite/JobDetails.aspx?id=21287&amp;site=1</t>
  </si>
  <si>
    <t>req21287</t>
  </si>
  <si>
    <t/>
  </si>
  <si>
    <t>Manager, Climate Finance and Policy</t>
  </si>
  <si>
    <t>https://worldbankgroup.csod.com/ats/careersite/JobDetails.aspx?id=21248&amp;site=1</t>
  </si>
  <si>
    <t>req21248</t>
  </si>
  <si>
    <t>Operating Engineer, Plant Operations</t>
  </si>
  <si>
    <t>https://worldbankgroup.csod.com/ats/careersite/JobDetails.aspx?id=21317&amp;site=1</t>
  </si>
  <si>
    <t>req21317</t>
  </si>
  <si>
    <t>GD</t>
  </si>
  <si>
    <t>General Services</t>
  </si>
  <si>
    <t>Operations Officer</t>
  </si>
  <si>
    <t>https://worldbankgroup.csod.com/ats/careersite/JobDetails.aspx?id=21185&amp;site=1</t>
  </si>
  <si>
    <t>req21185</t>
  </si>
  <si>
    <t>Operations Officer, Reporting and Analytics</t>
  </si>
  <si>
    <t>https://worldbankgroup.csod.com/ats/careersite/JobDetails.aspx?id=21266&amp;site=1</t>
  </si>
  <si>
    <t>req21266</t>
  </si>
  <si>
    <t>Principal Communications Officer - Head of Internal Communications</t>
  </si>
  <si>
    <t>https://worldbankgroup.csod.com/ats/careersite/JobDetails.aspx?id=20893&amp;site=1</t>
  </si>
  <si>
    <t>req20893</t>
  </si>
  <si>
    <t>Project and Learning Tools Development Coordinator</t>
  </si>
  <si>
    <t>https://worldbankgroup.csod.com/ats/careersite/JobDetails.aspx?id=21316&amp;site=1</t>
  </si>
  <si>
    <t>req21316</t>
  </si>
  <si>
    <t>Senior Compliance Officer - Environmental and Social Compliance</t>
  </si>
  <si>
    <t>https://worldbankgroup.csod.com/ats/careersite/JobDetails.aspx?id=21366&amp;site=1</t>
  </si>
  <si>
    <t>req21366</t>
  </si>
  <si>
    <t>Senior Developer, Financial Applications</t>
  </si>
  <si>
    <t>https://worldbankgroup.csod.com/ats/careersite/JobDetails.aspx?id=21286&amp;site=1</t>
  </si>
  <si>
    <t>req21286</t>
  </si>
  <si>
    <t>Senior Economist</t>
  </si>
  <si>
    <t>https://worldbankgroup.csod.com/ats/careersite/JobDetails.aspx?id=21443&amp;site=1</t>
  </si>
  <si>
    <t>req21443</t>
  </si>
  <si>
    <t>Senior Economist/Public Sector Specialist</t>
  </si>
  <si>
    <t>https://worldbankgroup.csod.com/ats/careersite/JobDetails.aspx?id=21294&amp;site=1</t>
  </si>
  <si>
    <t>req21294</t>
  </si>
  <si>
    <t>Senior Environmental Specialist</t>
  </si>
  <si>
    <t>https://worldbankgroup.csod.com/ats/careersite/JobDetails.aspx?id=21180&amp;site=1</t>
  </si>
  <si>
    <t>req21180</t>
  </si>
  <si>
    <t>https://worldbankgroup.csod.com/ats/careersite/JobDetails.aspx?id=21323&amp;site=1</t>
  </si>
  <si>
    <t>req21323</t>
  </si>
  <si>
    <t>Senior Evaluation Officer</t>
  </si>
  <si>
    <t>https://worldbankgroup.csod.com/ats/careersite/JobDetails.aspx?id=20849&amp;site=1</t>
  </si>
  <si>
    <t>req20849</t>
  </si>
  <si>
    <t>Senior External Affairs Officer</t>
  </si>
  <si>
    <t>https://worldbankgroup.csod.com/ats/careersite/JobDetails.aspx?id=21141&amp;site=1</t>
  </si>
  <si>
    <t>req21141</t>
  </si>
  <si>
    <t>External Affairs &amp; Corporate Relations</t>
  </si>
  <si>
    <t>Senior HR Specialist, Talent Attraction</t>
  </si>
  <si>
    <t>https://worldbankgroup.csod.com/ats/careersite/JobDetails.aspx?id=21354&amp;site=1</t>
  </si>
  <si>
    <t>req21354</t>
  </si>
  <si>
    <t>Senior HR Specialist, Talent Management</t>
  </si>
  <si>
    <t>https://worldbankgroup.csod.com/ats/careersite/JobDetails.aspx?id=20745&amp;site=1</t>
  </si>
  <si>
    <t>req20745</t>
  </si>
  <si>
    <t>Senior Investment Officer - Corporate Finance Services (CFS)</t>
  </si>
  <si>
    <t>https://worldbankgroup.csod.com/ats/careersite/JobDetails.aspx?id=21357&amp;site=1</t>
  </si>
  <si>
    <t>req21357</t>
  </si>
  <si>
    <t>Senior IT Officer, Business Solutions</t>
  </si>
  <si>
    <t>https://worldbankgroup.csod.com/ats/careersite/JobDetails.aspx?id=21154&amp;site=1</t>
  </si>
  <si>
    <t>req21154</t>
  </si>
  <si>
    <t>Senior IT Officer, Business Solutions (Senior Technical Lead)</t>
  </si>
  <si>
    <t>https://worldbankgroup.csod.com/ats/careersite/JobDetails.aspx?id=21153&amp;site=1</t>
  </si>
  <si>
    <t>req21153</t>
  </si>
  <si>
    <t>Social Protection Specialist</t>
  </si>
  <si>
    <t>https://worldbankgroup.csod.com/ats/careersite/JobDetails.aspx?id=21346&amp;site=1</t>
  </si>
  <si>
    <t>req21346</t>
  </si>
  <si>
    <t>Social Protection</t>
  </si>
  <si>
    <t>WBG Chief Ethics Officer</t>
  </si>
  <si>
    <t>https://worldbankgroup.csod.com/ats/careersite/JobDetails.aspx?id=21397&amp;site=1</t>
  </si>
  <si>
    <t>req21397</t>
  </si>
  <si>
    <t>GI</t>
  </si>
  <si>
    <t>Ethics &amp; Internal Justice Systems</t>
  </si>
  <si>
    <t>link</t>
  </si>
  <si>
    <t>status</t>
  </si>
  <si>
    <t>status_update</t>
  </si>
  <si>
    <t>working on it</t>
  </si>
  <si>
    <t>not interested</t>
  </si>
  <si>
    <t>strongly interested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</si>
</sst>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0" fontId="3" fillId="0" borderId="0" xfId="1" applyFont="1"/>
    <xf numFmtId="0" fontId="4" fillId="0" borderId="1" xfId="0" applyFont="1" applyBorder="1"/>
    <xf numFmtId="14" fontId="1" fillId="0" borderId="0" xfId="0" applyNumberFormat="1" applyFont="1"/>
  </cellXfs>
  <cellStyles count="2">
    <cellStyle name="Hyperlink" xfId="1" builtinId="8"/>
    <cellStyle name="Normal" xfId="0" builtinId="0"/>
  </cellStyles>
  <dxfs count="30">
    <dxf>
      <fill>
        <patternFill>
          <fgColor indexed="64"/>
          <bgColor theme="7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 tint="1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theme="9" tint="0.5999938962981048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medium">
          <color indexed="64"/>
        </bottom>
      </border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rgb="FFFF9999"/>
        </patternFill>
      </fill>
    </dxf>
    <dxf>
      <fill>
        <patternFill>
          <fgColor indexed="64"/>
          <bgColor theme="9" tint="0.59999389629810485"/>
        </patternFill>
      </fill>
    </dxf>
    <dxf>
      <fill>
        <patternFill>
          <fgColor indexed="64"/>
          <bgColor theme="7" tint="0.59999389629810485"/>
        </patternFill>
      </fill>
    </dxf>
    <dxf>
      <fill>
        <patternFill>
          <fgColor indexed="64"/>
          <bgColor rgb="FFFF9999"/>
        </patternFill>
      </fill>
    </dxf>
  </dxfs>
  <tableStyles count="0" defaultTableStyle="TableStyleMedium2" defaultPivotStyle="PivotStyleLight16"/>
  <colors>
    <mruColors>
      <color rgb="FFFF99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3558540</xdr:colOff>
      <xdr:row>2</xdr:row>
      <xdr:rowOff>0</xdr:rowOff>
    </xdr:from>
    <xdr:to>
      <xdr:col>3</xdr:col>
      <xdr:colOff>990600</xdr:colOff>
      <xdr:row>6</xdr:row>
      <xdr:rowOff>15240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854841-1289-4E18-60F5-392ECC1CB1F5}"/>
            </a:ext>
          </a:extLst>
        </xdr:cNvPr>
        <xdr:cNvSpPr/>
      </xdr:nvSpPr>
      <xdr:spPr>
        <a:xfrm>
          <a:off x="5623560" y="403860"/>
          <a:ext cx="2164080" cy="807720"/>
        </a:xfrm>
        <a:prstGeom prst="roundRect">
          <a:avLst>
            <a:gd name="adj" fmla="val 10753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200"/>
            <a:t>Remember to re-drag</a:t>
          </a:r>
          <a:r>
            <a:rPr lang="en-US" altLang="zh-CN" sz="1200" baseline="0"/>
            <a:t> the first column from cell A2 everytime opening this file.</a:t>
          </a:r>
        </a:p>
        <a:p>
          <a:pPr algn="l"/>
          <a:endParaRPr lang="en-US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F78615-B7BB-43A1-8C25-181D7A0582A3}" autoFormatId="16" applyNumberFormats="0" applyBorderFormats="0" applyFontFormats="0" applyPatternFormats="0" applyAlignmentFormats="0" applyWidthHeightFormats="0">
  <queryTableRefresh nextId="10">
    <queryTableFields count="9">
      <queryTableField id="1" name="title" tableColumnId="1"/>
      <queryTableField id="2" name="detail" tableColumnId="2"/>
      <queryTableField id="3" name="instit" tableColumnId="3"/>
      <queryTableField id="4" name="code" tableColumnId="4"/>
      <queryTableField id="5" name="grade" tableColumnId="5"/>
      <queryTableField id="6" name="location" tableColumnId="6"/>
      <queryTableField id="7" name="topic" tableColumnId="7"/>
      <queryTableField id="8" name="ddl" tableColumnId="8"/>
      <queryTableField id="9" name="statu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A5D6CA-B101-4492-81ED-A45EE1488A4A}" name="data" displayName="data" ref="C1:K59" tableType="queryTable" totalsRowShown="0" headerRowDxfId="23" dataDxfId="21" headerRowBorderDxfId="22">
  <autoFilter ref="C1:K59" xr:uid="{50A5D6CA-B101-4492-81ED-A45EE1488A4A}"/>
  <tableColumns count="9">
    <tableColumn id="1" xr3:uid="{D4C59809-12DE-4A57-9369-F0C9A8928250}" uniqueName="1" name="title" queryTableFieldId="1" dataDxfId="20"/>
    <tableColumn id="2" xr3:uid="{D32455D0-FE72-4F1B-B779-4DFACC82EC61}" uniqueName="2" name="detail" queryTableFieldId="2" dataDxfId="19"/>
    <tableColumn id="3" xr3:uid="{8A1C452F-45FC-4719-B31D-8BEBAF44D1D6}" uniqueName="3" name="instit" queryTableFieldId="3" dataDxfId="18"/>
    <tableColumn id="4" xr3:uid="{B7CC07D4-2155-46E5-BB98-FD38908ACFE5}" uniqueName="4" name="code" queryTableFieldId="4" dataDxfId="17"/>
    <tableColumn id="5" xr3:uid="{27048D43-5681-48BC-BB1F-E530D1F1D02C}" uniqueName="5" name="grade" queryTableFieldId="5" dataDxfId="16"/>
    <tableColumn id="6" xr3:uid="{01A3CAB6-9DD8-46DC-B9BA-DDD5FEF407ED}" uniqueName="6" name="location" queryTableFieldId="6" dataDxfId="15"/>
    <tableColumn id="7" xr3:uid="{6C710DEE-DEC7-4EE1-9D6F-51D23DEFD784}" uniqueName="7" name="topic" queryTableFieldId="7" dataDxfId="14"/>
    <tableColumn id="8" xr3:uid="{97E7C612-72C3-48BF-8599-85D76A602212}" uniqueName="8" name="ddl" queryTableFieldId="8" dataDxfId="13"/>
    <tableColumn id="9" xr3:uid="{BED5A53F-EC10-47B5-8434-8A38F5C6C9D2}" uniqueName="9" name="status" queryTableFieldId="9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2703-7F20-43E3-9A67-B7559A46EE1A}">
  <sheetPr codeName="Sheet1"/>
  <dimension ref="A1:K60"/>
  <sheetViews>
    <sheetView tabSelected="1" workbookViewId="0">
      <selection activeCell="C14" sqref="C14"/>
    </sheetView>
  </sheetViews>
  <sheetFormatPr defaultRowHeight="15.6" x14ac:dyDescent="0.3"/>
  <cols>
    <col min="1" max="1" width="18.6640625" style="1" customWidth="1"/>
    <col min="2" max="2" width="11.44140625" style="1" customWidth="1"/>
    <col min="3" max="3" width="69" style="1" bestFit="1" customWidth="1"/>
    <col min="4" max="4" width="80" style="1" bestFit="1" customWidth="1"/>
    <col min="5" max="5" width="11.88671875" style="1" bestFit="1" customWidth="1"/>
    <col min="6" max="6" width="9.6640625" style="1" bestFit="1" customWidth="1"/>
    <col min="7" max="7" width="8.44140625" style="1" bestFit="1" customWidth="1"/>
    <col min="8" max="8" width="29.5546875" style="1" bestFit="1" customWidth="1"/>
    <col min="9" max="9" width="37.21875" style="1" bestFit="1" customWidth="1"/>
    <col min="10" max="10" width="10.5546875" style="1" bestFit="1" customWidth="1"/>
    <col min="11" max="11" width="14.44140625" style="1" bestFit="1" customWidth="1"/>
    <col min="12" max="16384" width="8.88671875" style="1"/>
  </cols>
  <sheetData>
    <row r="1" spans="1:11" s="3" customFormat="1" ht="16.2" thickBot="1" x14ac:dyDescent="0.35">
      <c r="A1" s="3" t="s">
        <v>216</v>
      </c>
      <c r="B1" s="3" t="s">
        <v>214</v>
      </c>
      <c r="C1" s="3" t="s">
        <v>0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215</v>
      </c>
    </row>
    <row r="2" spans="1:11" x14ac:dyDescent="0.3">
      <c r="A2" s="1" t="str">
        <f>data[[#This Row],[status]]</f>
        <v>not interested</v>
      </c>
      <c r="B2" s="2" t="str">
        <f>HYPERLINK(data[[#This Row],[detail]],"click")</f>
        <v>click</v>
      </c>
      <c r="C2" s="1" t="s">
        <v>8</v>
      </c>
      <c r="D2" s="1" t="s">
        <v>9</v>
      </c>
      <c r="E2" s="1" t="s">
        <v>10</v>
      </c>
      <c r="F2" s="1" t="s">
        <v>11</v>
      </c>
      <c r="G2" s="1" t="s">
        <v>12</v>
      </c>
      <c r="H2" s="1" t="s">
        <v>13</v>
      </c>
      <c r="I2" s="1" t="s">
        <v>14</v>
      </c>
      <c r="J2" s="4">
        <v>44981</v>
      </c>
      <c r="K2" s="1" t="s">
        <v>218</v>
      </c>
    </row>
    <row r="3" spans="1:11" x14ac:dyDescent="0.3">
      <c r="A3" s="1" t="str">
        <f>data[[#This Row],[status]]</f>
        <v>not interested</v>
      </c>
      <c r="B3" s="2" t="str">
        <f>HYPERLINK(data[[#This Row],[detail]],"click")</f>
        <v>click</v>
      </c>
      <c r="C3" s="1" t="s">
        <v>15</v>
      </c>
      <c r="D3" s="1" t="s">
        <v>16</v>
      </c>
      <c r="E3" s="1" t="s">
        <v>17</v>
      </c>
      <c r="F3" s="1" t="s">
        <v>18</v>
      </c>
      <c r="G3" s="1" t="s">
        <v>12</v>
      </c>
      <c r="H3" s="1" t="s">
        <v>13</v>
      </c>
      <c r="I3" s="1" t="s">
        <v>19</v>
      </c>
      <c r="J3" s="4">
        <v>44981</v>
      </c>
      <c r="K3" s="1" t="s">
        <v>218</v>
      </c>
    </row>
    <row r="4" spans="1:11" x14ac:dyDescent="0.3">
      <c r="A4" s="1" t="str">
        <f>data[[#This Row],[status]]</f>
        <v>not interested</v>
      </c>
      <c r="B4" s="2" t="str">
        <f>HYPERLINK(data[[#This Row],[detail]],"click")</f>
        <v>click</v>
      </c>
      <c r="C4" s="1" t="s">
        <v>20</v>
      </c>
      <c r="D4" s="1" t="s">
        <v>21</v>
      </c>
      <c r="E4" s="1" t="s">
        <v>17</v>
      </c>
      <c r="F4" s="1" t="s">
        <v>22</v>
      </c>
      <c r="G4" s="1" t="s">
        <v>12</v>
      </c>
      <c r="H4" s="1" t="s">
        <v>13</v>
      </c>
      <c r="I4" s="1" t="s">
        <v>19</v>
      </c>
      <c r="J4" s="4">
        <v>44981</v>
      </c>
      <c r="K4" s="1" t="s">
        <v>218</v>
      </c>
    </row>
    <row r="5" spans="1:11" x14ac:dyDescent="0.3">
      <c r="A5" s="1" t="str">
        <f>data[[#This Row],[status]]</f>
        <v>not interested</v>
      </c>
      <c r="B5" s="2" t="str">
        <f>HYPERLINK(data[[#This Row],[detail]],"click")</f>
        <v>click</v>
      </c>
      <c r="C5" s="1" t="s">
        <v>40</v>
      </c>
      <c r="D5" s="1" t="s">
        <v>54</v>
      </c>
      <c r="E5" s="1" t="s">
        <v>17</v>
      </c>
      <c r="F5" s="1" t="s">
        <v>55</v>
      </c>
      <c r="G5" s="1" t="s">
        <v>46</v>
      </c>
      <c r="H5" s="1" t="s">
        <v>13</v>
      </c>
      <c r="I5" s="1" t="s">
        <v>56</v>
      </c>
      <c r="J5" s="4">
        <v>44981</v>
      </c>
      <c r="K5" s="1" t="s">
        <v>218</v>
      </c>
    </row>
    <row r="6" spans="1:11" x14ac:dyDescent="0.3">
      <c r="A6" s="1" t="str">
        <f>data[[#This Row],[status]]</f>
        <v>not interested</v>
      </c>
      <c r="B6" s="2" t="str">
        <f>HYPERLINK(data[[#This Row],[detail]],"click")</f>
        <v>click</v>
      </c>
      <c r="C6" s="1" t="s">
        <v>83</v>
      </c>
      <c r="D6" s="1" t="s">
        <v>86</v>
      </c>
      <c r="E6" s="1" t="s">
        <v>17</v>
      </c>
      <c r="F6" s="1" t="s">
        <v>87</v>
      </c>
      <c r="G6" s="1" t="s">
        <v>12</v>
      </c>
      <c r="H6" s="1" t="s">
        <v>13</v>
      </c>
      <c r="I6" s="1" t="s">
        <v>82</v>
      </c>
      <c r="J6" s="4">
        <v>44981</v>
      </c>
      <c r="K6" s="1" t="s">
        <v>218</v>
      </c>
    </row>
    <row r="7" spans="1:11" x14ac:dyDescent="0.3">
      <c r="A7" s="1" t="str">
        <f>data[[#This Row],[status]]</f>
        <v>not interested</v>
      </c>
      <c r="B7" s="2" t="str">
        <f>HYPERLINK(data[[#This Row],[detail]],"click")</f>
        <v>click</v>
      </c>
      <c r="C7" s="1" t="s">
        <v>160</v>
      </c>
      <c r="D7" s="1" t="s">
        <v>161</v>
      </c>
      <c r="E7" s="1" t="s">
        <v>10</v>
      </c>
      <c r="F7" s="1" t="s">
        <v>162</v>
      </c>
      <c r="G7" s="1" t="s">
        <v>27</v>
      </c>
      <c r="H7" s="1" t="s">
        <v>13</v>
      </c>
      <c r="I7" s="1" t="s">
        <v>32</v>
      </c>
      <c r="J7" s="4">
        <v>44981</v>
      </c>
      <c r="K7" s="1" t="s">
        <v>218</v>
      </c>
    </row>
    <row r="8" spans="1:11" x14ac:dyDescent="0.3">
      <c r="A8" s="1" t="str">
        <f>data[[#This Row],[status]]</f>
        <v>not interested</v>
      </c>
      <c r="B8" s="2" t="str">
        <f>HYPERLINK(data[[#This Row],[detail]],"click")</f>
        <v>click</v>
      </c>
      <c r="C8" s="1" t="s">
        <v>199</v>
      </c>
      <c r="D8" s="1" t="s">
        <v>200</v>
      </c>
      <c r="E8" s="1" t="s">
        <v>10</v>
      </c>
      <c r="F8" s="1" t="s">
        <v>201</v>
      </c>
      <c r="G8" s="1" t="s">
        <v>33</v>
      </c>
      <c r="H8" s="1" t="s">
        <v>13</v>
      </c>
      <c r="I8" s="1" t="s">
        <v>59</v>
      </c>
      <c r="J8" s="4">
        <v>44981</v>
      </c>
      <c r="K8" s="1" t="s">
        <v>218</v>
      </c>
    </row>
    <row r="9" spans="1:11" x14ac:dyDescent="0.3">
      <c r="A9" s="1" t="str">
        <f>data[[#This Row],[status]]</f>
        <v>not interested</v>
      </c>
      <c r="B9" s="2" t="str">
        <f>HYPERLINK(data[[#This Row],[detail]],"click")</f>
        <v>click</v>
      </c>
      <c r="C9" s="1" t="s">
        <v>202</v>
      </c>
      <c r="D9" s="1" t="s">
        <v>203</v>
      </c>
      <c r="E9" s="1" t="s">
        <v>10</v>
      </c>
      <c r="F9" s="1" t="s">
        <v>204</v>
      </c>
      <c r="G9" s="1" t="s">
        <v>33</v>
      </c>
      <c r="H9" s="1" t="s">
        <v>13</v>
      </c>
      <c r="I9" s="1" t="s">
        <v>59</v>
      </c>
      <c r="J9" s="4">
        <v>44981</v>
      </c>
      <c r="K9" s="1" t="s">
        <v>218</v>
      </c>
    </row>
    <row r="10" spans="1:11" x14ac:dyDescent="0.3">
      <c r="A10" s="1" t="str">
        <f>data[[#This Row],[status]]</f>
        <v>working on it</v>
      </c>
      <c r="B10" s="2" t="str">
        <f>HYPERLINK(data[[#This Row],[detail]],"click")</f>
        <v>click</v>
      </c>
      <c r="C10" s="1" t="s">
        <v>40</v>
      </c>
      <c r="D10" s="1" t="s">
        <v>44</v>
      </c>
      <c r="E10" s="1" t="s">
        <v>10</v>
      </c>
      <c r="F10" s="1" t="s">
        <v>45</v>
      </c>
      <c r="G10" s="1" t="s">
        <v>46</v>
      </c>
      <c r="H10" s="1" t="s">
        <v>13</v>
      </c>
      <c r="I10" s="1" t="s">
        <v>14</v>
      </c>
      <c r="J10" s="4">
        <v>44981</v>
      </c>
      <c r="K10" s="1" t="s">
        <v>217</v>
      </c>
    </row>
    <row r="11" spans="1:11" x14ac:dyDescent="0.3">
      <c r="A11" s="1" t="str">
        <f>data[[#This Row],[status]]</f>
        <v>working on it</v>
      </c>
      <c r="B11" s="2" t="str">
        <f>HYPERLINK(data[[#This Row],[detail]],"click")</f>
        <v>click</v>
      </c>
      <c r="C11" s="1" t="s">
        <v>40</v>
      </c>
      <c r="D11" s="1" t="s">
        <v>47</v>
      </c>
      <c r="E11" s="1" t="s">
        <v>10</v>
      </c>
      <c r="F11" s="1" t="s">
        <v>48</v>
      </c>
      <c r="G11" s="1" t="s">
        <v>46</v>
      </c>
      <c r="H11" s="1" t="s">
        <v>13</v>
      </c>
      <c r="I11" s="1" t="s">
        <v>28</v>
      </c>
      <c r="J11" s="4">
        <v>44981</v>
      </c>
      <c r="K11" s="1" t="s">
        <v>217</v>
      </c>
    </row>
    <row r="12" spans="1:11" x14ac:dyDescent="0.3">
      <c r="A12" s="1" t="str">
        <f>data[[#This Row],[status]]</f>
        <v>working on it</v>
      </c>
      <c r="B12" s="2" t="str">
        <f>HYPERLINK(data[[#This Row],[detail]],"click")</f>
        <v>click</v>
      </c>
      <c r="C12" s="1" t="s">
        <v>154</v>
      </c>
      <c r="D12" s="1" t="s">
        <v>155</v>
      </c>
      <c r="E12" s="1" t="s">
        <v>10</v>
      </c>
      <c r="F12" s="1" t="s">
        <v>156</v>
      </c>
      <c r="G12" s="1" t="s">
        <v>12</v>
      </c>
      <c r="H12" s="1" t="s">
        <v>13</v>
      </c>
      <c r="I12" s="1" t="s">
        <v>34</v>
      </c>
      <c r="J12" s="4">
        <v>44981</v>
      </c>
      <c r="K12" s="1" t="s">
        <v>217</v>
      </c>
    </row>
    <row r="13" spans="1:11" x14ac:dyDescent="0.3">
      <c r="A13" s="1" t="str">
        <f>data[[#This Row],[status]]</f>
        <v>not interested</v>
      </c>
      <c r="B13" s="2" t="str">
        <f>HYPERLINK(data[[#This Row],[detail]],"click")</f>
        <v>click</v>
      </c>
      <c r="C13" s="1" t="s">
        <v>83</v>
      </c>
      <c r="D13" s="1" t="s">
        <v>84</v>
      </c>
      <c r="E13" s="1" t="s">
        <v>17</v>
      </c>
      <c r="F13" s="1" t="s">
        <v>85</v>
      </c>
      <c r="G13" s="1" t="s">
        <v>12</v>
      </c>
      <c r="H13" s="1" t="s">
        <v>13</v>
      </c>
      <c r="I13" s="1" t="s">
        <v>82</v>
      </c>
      <c r="J13" s="4">
        <v>44982</v>
      </c>
      <c r="K13" s="1" t="s">
        <v>218</v>
      </c>
    </row>
    <row r="14" spans="1:11" x14ac:dyDescent="0.3">
      <c r="A14" s="1" t="s">
        <v>219</v>
      </c>
      <c r="B14" s="2" t="str">
        <f>HYPERLINK(data[[#This Row],[detail]],"click")</f>
        <v>click</v>
      </c>
      <c r="C14" s="1" t="s">
        <v>64</v>
      </c>
      <c r="D14" s="1" t="s">
        <v>65</v>
      </c>
      <c r="E14" s="1" t="s">
        <v>10</v>
      </c>
      <c r="F14" s="1" t="s">
        <v>66</v>
      </c>
      <c r="G14" s="1" t="s">
        <v>43</v>
      </c>
      <c r="H14" s="1" t="s">
        <v>13</v>
      </c>
      <c r="I14" s="1" t="s">
        <v>67</v>
      </c>
      <c r="J14" s="4">
        <v>44983</v>
      </c>
      <c r="K14" s="1" t="s">
        <v>145</v>
      </c>
    </row>
    <row r="15" spans="1:11" x14ac:dyDescent="0.3">
      <c r="A15" s="1" t="str">
        <f>data[[#This Row],[status]]</f>
        <v/>
      </c>
      <c r="B15" s="2" t="str">
        <f>HYPERLINK(data[[#This Row],[detail]],"click")</f>
        <v>click</v>
      </c>
      <c r="C15" s="1" t="s">
        <v>91</v>
      </c>
      <c r="D15" s="1" t="s">
        <v>92</v>
      </c>
      <c r="E15" s="1" t="s">
        <v>10</v>
      </c>
      <c r="F15" s="1" t="s">
        <v>93</v>
      </c>
      <c r="G15" s="1" t="s">
        <v>94</v>
      </c>
      <c r="H15" s="1" t="s">
        <v>13</v>
      </c>
      <c r="I15" s="1" t="s">
        <v>95</v>
      </c>
      <c r="J15" s="4">
        <v>44984</v>
      </c>
      <c r="K15" s="1" t="s">
        <v>145</v>
      </c>
    </row>
    <row r="16" spans="1:11" x14ac:dyDescent="0.3">
      <c r="A16" s="1" t="str">
        <f>data[[#This Row],[status]]</f>
        <v/>
      </c>
      <c r="B16" s="2" t="str">
        <f>HYPERLINK(data[[#This Row],[detail]],"click")</f>
        <v>click</v>
      </c>
      <c r="C16" s="1" t="s">
        <v>163</v>
      </c>
      <c r="D16" s="1" t="s">
        <v>164</v>
      </c>
      <c r="E16" s="1" t="s">
        <v>17</v>
      </c>
      <c r="F16" s="1" t="s">
        <v>165</v>
      </c>
      <c r="G16" s="1" t="s">
        <v>57</v>
      </c>
      <c r="H16" s="1" t="s">
        <v>13</v>
      </c>
      <c r="I16" s="1" t="s">
        <v>35</v>
      </c>
      <c r="J16" s="4">
        <v>44984</v>
      </c>
      <c r="K16" s="1" t="s">
        <v>145</v>
      </c>
    </row>
    <row r="17" spans="1:11" x14ac:dyDescent="0.3">
      <c r="A17" s="1" t="str">
        <f>data[[#This Row],[status]]</f>
        <v/>
      </c>
      <c r="B17" s="2" t="str">
        <f>HYPERLINK(data[[#This Row],[detail]],"click")</f>
        <v>click</v>
      </c>
      <c r="C17" s="1" t="s">
        <v>175</v>
      </c>
      <c r="D17" s="1" t="s">
        <v>176</v>
      </c>
      <c r="E17" s="1" t="s">
        <v>17</v>
      </c>
      <c r="F17" s="1" t="s">
        <v>177</v>
      </c>
      <c r="G17" s="1" t="s">
        <v>33</v>
      </c>
      <c r="H17" s="1" t="s">
        <v>13</v>
      </c>
      <c r="I17" s="1" t="s">
        <v>77</v>
      </c>
      <c r="J17" s="4">
        <v>44984</v>
      </c>
      <c r="K17" s="1" t="s">
        <v>145</v>
      </c>
    </row>
    <row r="18" spans="1:11" x14ac:dyDescent="0.3">
      <c r="A18" s="1" t="str">
        <f>data[[#This Row],[status]]</f>
        <v/>
      </c>
      <c r="B18" s="2" t="str">
        <f>HYPERLINK(data[[#This Row],[detail]],"click")</f>
        <v>click</v>
      </c>
      <c r="C18" s="1" t="s">
        <v>183</v>
      </c>
      <c r="D18" s="1" t="s">
        <v>184</v>
      </c>
      <c r="E18" s="1" t="s">
        <v>10</v>
      </c>
      <c r="F18" s="1" t="s">
        <v>185</v>
      </c>
      <c r="G18" s="1" t="s">
        <v>33</v>
      </c>
      <c r="H18" s="1" t="s">
        <v>13</v>
      </c>
      <c r="I18" s="1" t="s">
        <v>35</v>
      </c>
      <c r="J18" s="4">
        <v>44984</v>
      </c>
      <c r="K18" s="1" t="s">
        <v>145</v>
      </c>
    </row>
    <row r="19" spans="1:11" x14ac:dyDescent="0.3">
      <c r="A19" s="1" t="str">
        <f>data[[#This Row],[status]]</f>
        <v/>
      </c>
      <c r="B19" s="2" t="str">
        <f>HYPERLINK(data[[#This Row],[detail]],"click")</f>
        <v>click</v>
      </c>
      <c r="C19" s="1" t="s">
        <v>23</v>
      </c>
      <c r="D19" s="1" t="s">
        <v>24</v>
      </c>
      <c r="E19" s="1" t="s">
        <v>10</v>
      </c>
      <c r="F19" s="1" t="s">
        <v>25</v>
      </c>
      <c r="G19" s="1" t="s">
        <v>12</v>
      </c>
      <c r="H19" s="1" t="s">
        <v>13</v>
      </c>
      <c r="I19" s="1" t="s">
        <v>26</v>
      </c>
      <c r="J19" s="4">
        <v>44985</v>
      </c>
      <c r="K19" s="1" t="s">
        <v>145</v>
      </c>
    </row>
    <row r="20" spans="1:11" x14ac:dyDescent="0.3">
      <c r="A20" s="1" t="str">
        <f>data[[#This Row],[status]]</f>
        <v/>
      </c>
      <c r="B20" s="2" t="str">
        <f>HYPERLINK(data[[#This Row],[detail]],"click")</f>
        <v>click</v>
      </c>
      <c r="C20" s="1" t="s">
        <v>40</v>
      </c>
      <c r="D20" s="1" t="s">
        <v>49</v>
      </c>
      <c r="E20" s="1" t="s">
        <v>17</v>
      </c>
      <c r="F20" s="1" t="s">
        <v>50</v>
      </c>
      <c r="G20" s="1" t="s">
        <v>46</v>
      </c>
      <c r="H20" s="1" t="s">
        <v>13</v>
      </c>
      <c r="I20" s="1" t="s">
        <v>51</v>
      </c>
      <c r="J20" s="4">
        <v>44985</v>
      </c>
      <c r="K20" s="1" t="s">
        <v>145</v>
      </c>
    </row>
    <row r="21" spans="1:11" x14ac:dyDescent="0.3">
      <c r="A21" s="1" t="str">
        <f>data[[#This Row],[status]]</f>
        <v/>
      </c>
      <c r="B21" s="2" t="str">
        <f>HYPERLINK(data[[#This Row],[detail]],"click")</f>
        <v>click</v>
      </c>
      <c r="C21" s="1" t="s">
        <v>98</v>
      </c>
      <c r="D21" s="1" t="s">
        <v>99</v>
      </c>
      <c r="E21" s="1" t="s">
        <v>10</v>
      </c>
      <c r="F21" s="1" t="s">
        <v>100</v>
      </c>
      <c r="G21" s="1" t="s">
        <v>94</v>
      </c>
      <c r="H21" s="1" t="s">
        <v>13</v>
      </c>
      <c r="I21" s="1" t="s">
        <v>19</v>
      </c>
      <c r="J21" s="4">
        <v>44985</v>
      </c>
      <c r="K21" s="1" t="s">
        <v>145</v>
      </c>
    </row>
    <row r="22" spans="1:11" x14ac:dyDescent="0.3">
      <c r="A22" s="1" t="str">
        <f>data[[#This Row],[status]]</f>
        <v/>
      </c>
      <c r="B22" s="2" t="str">
        <f>HYPERLINK(data[[#This Row],[detail]],"click")</f>
        <v>click</v>
      </c>
      <c r="C22" s="1" t="s">
        <v>139</v>
      </c>
      <c r="D22" s="1" t="s">
        <v>140</v>
      </c>
      <c r="E22" s="1" t="s">
        <v>10</v>
      </c>
      <c r="F22" s="1" t="s">
        <v>141</v>
      </c>
      <c r="G22" s="1" t="s">
        <v>94</v>
      </c>
      <c r="H22" s="1" t="s">
        <v>13</v>
      </c>
      <c r="I22" s="1" t="s">
        <v>59</v>
      </c>
      <c r="J22" s="4">
        <v>44985</v>
      </c>
      <c r="K22" s="1" t="s">
        <v>145</v>
      </c>
    </row>
    <row r="23" spans="1:11" x14ac:dyDescent="0.3">
      <c r="A23" s="1" t="str">
        <f>data[[#This Row],[status]]</f>
        <v/>
      </c>
      <c r="B23" s="2" t="str">
        <f>HYPERLINK(data[[#This Row],[detail]],"click")</f>
        <v>click</v>
      </c>
      <c r="C23" s="1" t="s">
        <v>142</v>
      </c>
      <c r="D23" s="1" t="s">
        <v>143</v>
      </c>
      <c r="E23" s="1" t="s">
        <v>17</v>
      </c>
      <c r="F23" s="1" t="s">
        <v>144</v>
      </c>
      <c r="G23" s="1" t="s">
        <v>12</v>
      </c>
      <c r="H23" s="1" t="s">
        <v>13</v>
      </c>
      <c r="I23" s="1" t="s">
        <v>59</v>
      </c>
      <c r="J23" s="4">
        <v>44985</v>
      </c>
      <c r="K23" s="1" t="s">
        <v>145</v>
      </c>
    </row>
    <row r="24" spans="1:11" x14ac:dyDescent="0.3">
      <c r="A24" s="1" t="str">
        <f>data[[#This Row],[status]]</f>
        <v/>
      </c>
      <c r="B24" s="2" t="str">
        <f>HYPERLINK(data[[#This Row],[detail]],"click")</f>
        <v>click</v>
      </c>
      <c r="C24" s="1" t="s">
        <v>169</v>
      </c>
      <c r="D24" s="1" t="s">
        <v>170</v>
      </c>
      <c r="E24" s="1" t="s">
        <v>17</v>
      </c>
      <c r="F24" s="1" t="s">
        <v>171</v>
      </c>
      <c r="G24" s="1" t="s">
        <v>12</v>
      </c>
      <c r="H24" s="1" t="s">
        <v>13</v>
      </c>
      <c r="I24" s="1" t="s">
        <v>59</v>
      </c>
      <c r="J24" s="4">
        <v>44985</v>
      </c>
      <c r="K24" s="1" t="s">
        <v>145</v>
      </c>
    </row>
    <row r="25" spans="1:11" x14ac:dyDescent="0.3">
      <c r="A25" s="1" t="str">
        <f>data[[#This Row],[status]]</f>
        <v/>
      </c>
      <c r="B25" s="2" t="str">
        <f>HYPERLINK(data[[#This Row],[detail]],"click")</f>
        <v>click</v>
      </c>
      <c r="C25" s="1" t="s">
        <v>178</v>
      </c>
      <c r="D25" s="1" t="s">
        <v>179</v>
      </c>
      <c r="E25" s="1" t="s">
        <v>10</v>
      </c>
      <c r="F25" s="1" t="s">
        <v>180</v>
      </c>
      <c r="G25" s="1" t="s">
        <v>33</v>
      </c>
      <c r="H25" s="1" t="s">
        <v>13</v>
      </c>
      <c r="I25" s="1" t="s">
        <v>82</v>
      </c>
      <c r="J25" s="4">
        <v>44985</v>
      </c>
      <c r="K25" s="1" t="s">
        <v>145</v>
      </c>
    </row>
    <row r="26" spans="1:11" x14ac:dyDescent="0.3">
      <c r="A26" s="1" t="str">
        <f>data[[#This Row],[status]]</f>
        <v/>
      </c>
      <c r="B26" s="2" t="str">
        <f>HYPERLINK(data[[#This Row],[detail]],"click")</f>
        <v>click</v>
      </c>
      <c r="C26" s="1" t="s">
        <v>193</v>
      </c>
      <c r="D26" s="1" t="s">
        <v>194</v>
      </c>
      <c r="E26" s="1" t="s">
        <v>17</v>
      </c>
      <c r="F26" s="1" t="s">
        <v>195</v>
      </c>
      <c r="G26" s="1" t="s">
        <v>33</v>
      </c>
      <c r="H26" s="1" t="s">
        <v>13</v>
      </c>
      <c r="I26" s="1" t="s">
        <v>69</v>
      </c>
      <c r="J26" s="4">
        <v>44985</v>
      </c>
      <c r="K26" s="1" t="s">
        <v>145</v>
      </c>
    </row>
    <row r="27" spans="1:11" x14ac:dyDescent="0.3">
      <c r="A27" s="1" t="str">
        <f>data[[#This Row],[status]]</f>
        <v/>
      </c>
      <c r="B27" s="2" t="str">
        <f>HYPERLINK(data[[#This Row],[detail]],"click")</f>
        <v>click</v>
      </c>
      <c r="C27" s="1" t="s">
        <v>73</v>
      </c>
      <c r="D27" s="1" t="s">
        <v>74</v>
      </c>
      <c r="E27" s="1" t="s">
        <v>10</v>
      </c>
      <c r="F27" s="1" t="s">
        <v>75</v>
      </c>
      <c r="G27" s="1" t="s">
        <v>76</v>
      </c>
      <c r="H27" s="1" t="s">
        <v>13</v>
      </c>
      <c r="I27" s="1" t="s">
        <v>39</v>
      </c>
      <c r="J27" s="4">
        <v>44986</v>
      </c>
      <c r="K27" s="1" t="s">
        <v>145</v>
      </c>
    </row>
    <row r="28" spans="1:11" x14ac:dyDescent="0.3">
      <c r="A28" s="1" t="str">
        <f>data[[#This Row],[status]]</f>
        <v/>
      </c>
      <c r="B28" s="2" t="str">
        <f>HYPERLINK(data[[#This Row],[detail]],"click")</f>
        <v>click</v>
      </c>
      <c r="C28" s="1" t="s">
        <v>101</v>
      </c>
      <c r="D28" s="1" t="s">
        <v>102</v>
      </c>
      <c r="E28" s="1" t="s">
        <v>10</v>
      </c>
      <c r="F28" s="1" t="s">
        <v>103</v>
      </c>
      <c r="G28" s="1" t="s">
        <v>27</v>
      </c>
      <c r="H28" s="1" t="s">
        <v>13</v>
      </c>
      <c r="I28" s="1" t="s">
        <v>34</v>
      </c>
      <c r="J28" s="4">
        <v>44987</v>
      </c>
      <c r="K28" s="1" t="s">
        <v>145</v>
      </c>
    </row>
    <row r="29" spans="1:11" x14ac:dyDescent="0.3">
      <c r="A29" s="1" t="str">
        <f>data[[#This Row],[status]]</f>
        <v/>
      </c>
      <c r="B29" s="2" t="str">
        <f>HYPERLINK(data[[#This Row],[detail]],"click")</f>
        <v>click</v>
      </c>
      <c r="C29" s="1" t="s">
        <v>107</v>
      </c>
      <c r="D29" s="1" t="s">
        <v>108</v>
      </c>
      <c r="E29" s="1" t="s">
        <v>10</v>
      </c>
      <c r="F29" s="1" t="s">
        <v>109</v>
      </c>
      <c r="G29" s="1" t="s">
        <v>27</v>
      </c>
      <c r="H29" s="1" t="s">
        <v>13</v>
      </c>
      <c r="I29" s="1" t="s">
        <v>68</v>
      </c>
      <c r="J29" s="4">
        <v>44987</v>
      </c>
      <c r="K29" s="1" t="s">
        <v>145</v>
      </c>
    </row>
    <row r="30" spans="1:11" x14ac:dyDescent="0.3">
      <c r="A30" s="1" t="str">
        <f>data[[#This Row],[status]]</f>
        <v/>
      </c>
      <c r="B30" s="2" t="str">
        <f>HYPERLINK(data[[#This Row],[detail]],"click")</f>
        <v>click</v>
      </c>
      <c r="C30" s="1" t="s">
        <v>110</v>
      </c>
      <c r="D30" s="1" t="s">
        <v>111</v>
      </c>
      <c r="E30" s="1" t="s">
        <v>10</v>
      </c>
      <c r="F30" s="1" t="s">
        <v>112</v>
      </c>
      <c r="G30" s="1" t="s">
        <v>27</v>
      </c>
      <c r="H30" s="1" t="s">
        <v>13</v>
      </c>
      <c r="I30" s="1" t="s">
        <v>35</v>
      </c>
      <c r="J30" s="4">
        <v>44987</v>
      </c>
      <c r="K30" s="1" t="s">
        <v>145</v>
      </c>
    </row>
    <row r="31" spans="1:11" x14ac:dyDescent="0.3">
      <c r="A31" s="1" t="str">
        <f>data[[#This Row],[status]]</f>
        <v/>
      </c>
      <c r="B31" s="2" t="str">
        <f>HYPERLINK(data[[#This Row],[detail]],"click")</f>
        <v>click</v>
      </c>
      <c r="C31" s="1" t="s">
        <v>113</v>
      </c>
      <c r="D31" s="1" t="s">
        <v>114</v>
      </c>
      <c r="E31" s="1" t="s">
        <v>10</v>
      </c>
      <c r="F31" s="1" t="s">
        <v>115</v>
      </c>
      <c r="G31" s="1" t="s">
        <v>27</v>
      </c>
      <c r="H31" s="1" t="s">
        <v>13</v>
      </c>
      <c r="I31" s="1" t="s">
        <v>35</v>
      </c>
      <c r="J31" s="4">
        <v>44987</v>
      </c>
      <c r="K31" s="1" t="s">
        <v>145</v>
      </c>
    </row>
    <row r="32" spans="1:11" x14ac:dyDescent="0.3">
      <c r="A32" s="1" t="str">
        <f>data[[#This Row],[status]]</f>
        <v/>
      </c>
      <c r="B32" s="2" t="str">
        <f>HYPERLINK(data[[#This Row],[detail]],"click")</f>
        <v>click</v>
      </c>
      <c r="C32" s="1" t="s">
        <v>40</v>
      </c>
      <c r="D32" s="1" t="s">
        <v>41</v>
      </c>
      <c r="E32" s="1" t="s">
        <v>17</v>
      </c>
      <c r="F32" s="1" t="s">
        <v>42</v>
      </c>
      <c r="G32" s="1" t="s">
        <v>43</v>
      </c>
      <c r="H32" s="1" t="s">
        <v>13</v>
      </c>
      <c r="I32" s="1" t="s">
        <v>14</v>
      </c>
      <c r="J32" s="4">
        <v>44988</v>
      </c>
      <c r="K32" s="1" t="s">
        <v>145</v>
      </c>
    </row>
    <row r="33" spans="1:11" x14ac:dyDescent="0.3">
      <c r="A33" s="1" t="str">
        <f>data[[#This Row],[status]]</f>
        <v/>
      </c>
      <c r="B33" s="2" t="str">
        <f>HYPERLINK(data[[#This Row],[detail]],"click")</f>
        <v>click</v>
      </c>
      <c r="C33" s="1" t="s">
        <v>40</v>
      </c>
      <c r="D33" s="1" t="s">
        <v>52</v>
      </c>
      <c r="E33" s="1" t="s">
        <v>17</v>
      </c>
      <c r="F33" s="1" t="s">
        <v>53</v>
      </c>
      <c r="G33" s="1" t="s">
        <v>43</v>
      </c>
      <c r="H33" s="1" t="s">
        <v>13</v>
      </c>
      <c r="I33" s="1" t="s">
        <v>14</v>
      </c>
      <c r="J33" s="4">
        <v>44988</v>
      </c>
      <c r="K33" s="1" t="s">
        <v>145</v>
      </c>
    </row>
    <row r="34" spans="1:11" x14ac:dyDescent="0.3">
      <c r="A34" s="1" t="str">
        <f>data[[#This Row],[status]]</f>
        <v/>
      </c>
      <c r="B34" s="2" t="str">
        <f>HYPERLINK(data[[#This Row],[detail]],"click")</f>
        <v>click</v>
      </c>
      <c r="C34" s="1" t="s">
        <v>78</v>
      </c>
      <c r="D34" s="1" t="s">
        <v>79</v>
      </c>
      <c r="E34" s="1" t="s">
        <v>80</v>
      </c>
      <c r="F34" s="1" t="s">
        <v>81</v>
      </c>
      <c r="G34" s="1" t="s">
        <v>12</v>
      </c>
      <c r="H34" s="1" t="s">
        <v>13</v>
      </c>
      <c r="I34" s="1" t="s">
        <v>82</v>
      </c>
      <c r="J34" s="4">
        <v>44988</v>
      </c>
      <c r="K34" s="1" t="s">
        <v>145</v>
      </c>
    </row>
    <row r="35" spans="1:11" x14ac:dyDescent="0.3">
      <c r="A35" s="1" t="str">
        <f>data[[#This Row],[status]]</f>
        <v/>
      </c>
      <c r="B35" s="2" t="str">
        <f>HYPERLINK(data[[#This Row],[detail]],"click")</f>
        <v>click</v>
      </c>
      <c r="C35" s="1" t="s">
        <v>126</v>
      </c>
      <c r="D35" s="1" t="s">
        <v>127</v>
      </c>
      <c r="E35" s="1" t="s">
        <v>10</v>
      </c>
      <c r="F35" s="1" t="s">
        <v>128</v>
      </c>
      <c r="G35" s="1" t="s">
        <v>12</v>
      </c>
      <c r="H35" s="1" t="s">
        <v>13</v>
      </c>
      <c r="I35" s="1" t="s">
        <v>69</v>
      </c>
      <c r="J35" s="4">
        <v>44988</v>
      </c>
      <c r="K35" s="1" t="s">
        <v>145</v>
      </c>
    </row>
    <row r="36" spans="1:11" x14ac:dyDescent="0.3">
      <c r="A36" s="1" t="str">
        <f>data[[#This Row],[status]]</f>
        <v/>
      </c>
      <c r="B36" s="2" t="str">
        <f>HYPERLINK(data[[#This Row],[detail]],"click")</f>
        <v>click</v>
      </c>
      <c r="C36" s="1" t="s">
        <v>136</v>
      </c>
      <c r="D36" s="1" t="s">
        <v>137</v>
      </c>
      <c r="E36" s="1" t="s">
        <v>10</v>
      </c>
      <c r="F36" s="1" t="s">
        <v>138</v>
      </c>
      <c r="G36" s="1" t="s">
        <v>33</v>
      </c>
      <c r="H36" s="1" t="s">
        <v>13</v>
      </c>
      <c r="I36" s="1" t="s">
        <v>28</v>
      </c>
      <c r="J36" s="4">
        <v>44988</v>
      </c>
      <c r="K36" s="1" t="s">
        <v>145</v>
      </c>
    </row>
    <row r="37" spans="1:11" x14ac:dyDescent="0.3">
      <c r="A37" s="1" t="str">
        <f>data[[#This Row],[status]]</f>
        <v/>
      </c>
      <c r="B37" s="2" t="str">
        <f>HYPERLINK(data[[#This Row],[detail]],"click")</f>
        <v>click</v>
      </c>
      <c r="C37" s="1" t="s">
        <v>146</v>
      </c>
      <c r="D37" s="1" t="s">
        <v>147</v>
      </c>
      <c r="E37" s="1" t="s">
        <v>10</v>
      </c>
      <c r="F37" s="1" t="s">
        <v>148</v>
      </c>
      <c r="G37" s="1" t="s">
        <v>27</v>
      </c>
      <c r="H37" s="1" t="s">
        <v>13</v>
      </c>
      <c r="I37" s="1" t="s">
        <v>14</v>
      </c>
      <c r="J37" s="4">
        <v>44988</v>
      </c>
      <c r="K37" s="1" t="s">
        <v>145</v>
      </c>
    </row>
    <row r="38" spans="1:11" x14ac:dyDescent="0.3">
      <c r="A38" s="1" t="str">
        <f>data[[#This Row],[status]]</f>
        <v/>
      </c>
      <c r="B38" s="2" t="str">
        <f>HYPERLINK(data[[#This Row],[detail]],"click")</f>
        <v>click</v>
      </c>
      <c r="C38" s="1" t="s">
        <v>157</v>
      </c>
      <c r="D38" s="1" t="s">
        <v>158</v>
      </c>
      <c r="E38" s="1" t="s">
        <v>10</v>
      </c>
      <c r="F38" s="1" t="s">
        <v>159</v>
      </c>
      <c r="G38" s="1" t="s">
        <v>33</v>
      </c>
      <c r="H38" s="1" t="s">
        <v>13</v>
      </c>
      <c r="I38" s="1" t="s">
        <v>35</v>
      </c>
      <c r="J38" s="4">
        <v>44988</v>
      </c>
      <c r="K38" s="1" t="s">
        <v>145</v>
      </c>
    </row>
    <row r="39" spans="1:11" x14ac:dyDescent="0.3">
      <c r="A39" s="1" t="str">
        <f>data[[#This Row],[status]]</f>
        <v/>
      </c>
      <c r="B39" s="2" t="str">
        <f>HYPERLINK(data[[#This Row],[detail]],"click")</f>
        <v>click</v>
      </c>
      <c r="C39" s="1" t="s">
        <v>186</v>
      </c>
      <c r="D39" s="1" t="s">
        <v>187</v>
      </c>
      <c r="E39" s="1" t="s">
        <v>17</v>
      </c>
      <c r="F39" s="1" t="s">
        <v>188</v>
      </c>
      <c r="G39" s="1" t="s">
        <v>33</v>
      </c>
      <c r="H39" s="1" t="s">
        <v>13</v>
      </c>
      <c r="I39" s="1" t="s">
        <v>189</v>
      </c>
      <c r="J39" s="4">
        <v>44988</v>
      </c>
      <c r="K39" s="1" t="s">
        <v>145</v>
      </c>
    </row>
    <row r="40" spans="1:11" x14ac:dyDescent="0.3">
      <c r="A40" s="1" t="str">
        <f>data[[#This Row],[status]]</f>
        <v/>
      </c>
      <c r="B40" s="2" t="str">
        <f>HYPERLINK(data[[#This Row],[detail]],"click")</f>
        <v>click</v>
      </c>
      <c r="C40" s="1" t="s">
        <v>196</v>
      </c>
      <c r="D40" s="1" t="s">
        <v>197</v>
      </c>
      <c r="E40" s="1" t="s">
        <v>10</v>
      </c>
      <c r="F40" s="1" t="s">
        <v>198</v>
      </c>
      <c r="G40" s="1" t="s">
        <v>33</v>
      </c>
      <c r="H40" s="1" t="s">
        <v>13</v>
      </c>
      <c r="I40" s="1" t="s">
        <v>119</v>
      </c>
      <c r="J40" s="4">
        <v>44988</v>
      </c>
      <c r="K40" s="1" t="s">
        <v>145</v>
      </c>
    </row>
    <row r="41" spans="1:11" x14ac:dyDescent="0.3">
      <c r="A41" s="1" t="str">
        <f>data[[#This Row],[status]]</f>
        <v/>
      </c>
      <c r="B41" s="2" t="str">
        <f>HYPERLINK(data[[#This Row],[detail]],"click")</f>
        <v>click</v>
      </c>
      <c r="C41" s="1" t="s">
        <v>205</v>
      </c>
      <c r="D41" s="1" t="s">
        <v>206</v>
      </c>
      <c r="E41" s="1" t="s">
        <v>17</v>
      </c>
      <c r="F41" s="1" t="s">
        <v>207</v>
      </c>
      <c r="G41" s="1" t="s">
        <v>12</v>
      </c>
      <c r="H41" s="1" t="s">
        <v>13</v>
      </c>
      <c r="I41" s="1" t="s">
        <v>208</v>
      </c>
      <c r="J41" s="4">
        <v>44988</v>
      </c>
      <c r="K41" s="1" t="s">
        <v>145</v>
      </c>
    </row>
    <row r="42" spans="1:11" x14ac:dyDescent="0.3">
      <c r="A42" s="1" t="str">
        <f>data[[#This Row],[status]]</f>
        <v/>
      </c>
      <c r="B42" s="2" t="str">
        <f>HYPERLINK(data[[#This Row],[detail]],"click")</f>
        <v>click</v>
      </c>
      <c r="C42" s="1" t="s">
        <v>149</v>
      </c>
      <c r="D42" s="1" t="s">
        <v>150</v>
      </c>
      <c r="E42" s="1" t="s">
        <v>17</v>
      </c>
      <c r="F42" s="1" t="s">
        <v>151</v>
      </c>
      <c r="G42" s="1" t="s">
        <v>152</v>
      </c>
      <c r="H42" s="1" t="s">
        <v>13</v>
      </c>
      <c r="I42" s="1" t="s">
        <v>153</v>
      </c>
      <c r="J42" s="4">
        <v>44989</v>
      </c>
      <c r="K42" s="1" t="s">
        <v>145</v>
      </c>
    </row>
    <row r="43" spans="1:11" x14ac:dyDescent="0.3">
      <c r="A43" s="1" t="str">
        <f>data[[#This Row],[status]]</f>
        <v/>
      </c>
      <c r="B43" s="2" t="str">
        <f>HYPERLINK(data[[#This Row],[detail]],"click")</f>
        <v>click</v>
      </c>
      <c r="C43" s="1" t="s">
        <v>129</v>
      </c>
      <c r="D43" s="1" t="s">
        <v>130</v>
      </c>
      <c r="E43" s="1" t="s">
        <v>10</v>
      </c>
      <c r="F43" s="1" t="s">
        <v>131</v>
      </c>
      <c r="G43" s="1" t="s">
        <v>33</v>
      </c>
      <c r="H43" s="1" t="s">
        <v>13</v>
      </c>
      <c r="I43" s="1" t="s">
        <v>132</v>
      </c>
      <c r="J43" s="4">
        <v>44990</v>
      </c>
      <c r="K43" s="1" t="s">
        <v>145</v>
      </c>
    </row>
    <row r="44" spans="1:11" x14ac:dyDescent="0.3">
      <c r="A44" s="1" t="str">
        <f>data[[#This Row],[status]]</f>
        <v/>
      </c>
      <c r="B44" s="2" t="str">
        <f>HYPERLINK(data[[#This Row],[detail]],"click")</f>
        <v>click</v>
      </c>
      <c r="C44" s="1" t="s">
        <v>60</v>
      </c>
      <c r="D44" s="1" t="s">
        <v>61</v>
      </c>
      <c r="E44" s="1" t="s">
        <v>17</v>
      </c>
      <c r="F44" s="1" t="s">
        <v>62</v>
      </c>
      <c r="G44" s="1" t="s">
        <v>46</v>
      </c>
      <c r="H44" s="1" t="s">
        <v>13</v>
      </c>
      <c r="I44" s="1" t="s">
        <v>63</v>
      </c>
      <c r="J44" s="4">
        <v>44992</v>
      </c>
      <c r="K44" s="1" t="s">
        <v>145</v>
      </c>
    </row>
    <row r="45" spans="1:11" x14ac:dyDescent="0.3">
      <c r="A45" s="1" t="str">
        <f>data[[#This Row],[status]]</f>
        <v/>
      </c>
      <c r="B45" s="2" t="str">
        <f>HYPERLINK(data[[#This Row],[detail]],"click")</f>
        <v>click</v>
      </c>
      <c r="C45" s="1" t="s">
        <v>91</v>
      </c>
      <c r="D45" s="1" t="s">
        <v>96</v>
      </c>
      <c r="E45" s="1" t="s">
        <v>10</v>
      </c>
      <c r="F45" s="1" t="s">
        <v>97</v>
      </c>
      <c r="G45" s="1" t="s">
        <v>94</v>
      </c>
      <c r="H45" s="1" t="s">
        <v>13</v>
      </c>
      <c r="I45" s="1" t="s">
        <v>95</v>
      </c>
      <c r="J45" s="4">
        <v>44992</v>
      </c>
      <c r="K45" s="1" t="s">
        <v>145</v>
      </c>
    </row>
    <row r="46" spans="1:11" x14ac:dyDescent="0.3">
      <c r="A46" s="1" t="str">
        <f>data[[#This Row],[status]]</f>
        <v/>
      </c>
      <c r="B46" s="2" t="str">
        <f>HYPERLINK(data[[#This Row],[detail]],"click")</f>
        <v>click</v>
      </c>
      <c r="C46" s="1" t="s">
        <v>104</v>
      </c>
      <c r="D46" s="1" t="s">
        <v>105</v>
      </c>
      <c r="E46" s="1" t="s">
        <v>10</v>
      </c>
      <c r="F46" s="1" t="s">
        <v>106</v>
      </c>
      <c r="G46" s="1" t="s">
        <v>33</v>
      </c>
      <c r="H46" s="1" t="s">
        <v>13</v>
      </c>
      <c r="I46" s="1" t="s">
        <v>69</v>
      </c>
      <c r="J46" s="4">
        <v>44992</v>
      </c>
      <c r="K46" s="1" t="s">
        <v>145</v>
      </c>
    </row>
    <row r="47" spans="1:11" x14ac:dyDescent="0.3">
      <c r="A47" s="1" t="str">
        <f>data[[#This Row],[status]]</f>
        <v/>
      </c>
      <c r="B47" s="2" t="str">
        <f>HYPERLINK(data[[#This Row],[detail]],"click")</f>
        <v>click</v>
      </c>
      <c r="C47" s="1" t="s">
        <v>178</v>
      </c>
      <c r="D47" s="1" t="s">
        <v>181</v>
      </c>
      <c r="E47" s="1" t="s">
        <v>17</v>
      </c>
      <c r="F47" s="1" t="s">
        <v>182</v>
      </c>
      <c r="G47" s="1" t="s">
        <v>33</v>
      </c>
      <c r="H47" s="1" t="s">
        <v>13</v>
      </c>
      <c r="I47" s="1" t="s">
        <v>82</v>
      </c>
      <c r="J47" s="4">
        <v>44993</v>
      </c>
      <c r="K47" s="1" t="s">
        <v>145</v>
      </c>
    </row>
    <row r="48" spans="1:11" x14ac:dyDescent="0.3">
      <c r="A48" s="1" t="str">
        <f>data[[#This Row],[status]]</f>
        <v/>
      </c>
      <c r="B48" s="2" t="str">
        <f>HYPERLINK(data[[#This Row],[detail]],"click")</f>
        <v>click</v>
      </c>
      <c r="C48" s="1" t="s">
        <v>120</v>
      </c>
      <c r="D48" s="1" t="s">
        <v>121</v>
      </c>
      <c r="E48" s="1" t="s">
        <v>17</v>
      </c>
      <c r="F48" s="1" t="s">
        <v>122</v>
      </c>
      <c r="G48" s="1" t="s">
        <v>94</v>
      </c>
      <c r="H48" s="1" t="s">
        <v>13</v>
      </c>
      <c r="I48" s="1" t="s">
        <v>69</v>
      </c>
      <c r="J48" s="4">
        <v>44994</v>
      </c>
      <c r="K48" s="1" t="s">
        <v>145</v>
      </c>
    </row>
    <row r="49" spans="1:11" x14ac:dyDescent="0.3">
      <c r="A49" s="1" t="str">
        <f>data[[#This Row],[status]]</f>
        <v/>
      </c>
      <c r="B49" s="2" t="str">
        <f>HYPERLINK(data[[#This Row],[detail]],"click")</f>
        <v>click</v>
      </c>
      <c r="C49" s="1" t="s">
        <v>123</v>
      </c>
      <c r="D49" s="1" t="s">
        <v>124</v>
      </c>
      <c r="E49" s="1" t="s">
        <v>17</v>
      </c>
      <c r="F49" s="1" t="s">
        <v>125</v>
      </c>
      <c r="G49" s="1" t="s">
        <v>12</v>
      </c>
      <c r="H49" s="1" t="s">
        <v>13</v>
      </c>
      <c r="I49" s="1" t="s">
        <v>69</v>
      </c>
      <c r="J49" s="4">
        <v>44994</v>
      </c>
      <c r="K49" s="1" t="s">
        <v>145</v>
      </c>
    </row>
    <row r="50" spans="1:11" x14ac:dyDescent="0.3">
      <c r="A50" s="1" t="str">
        <f>data[[#This Row],[status]]</f>
        <v/>
      </c>
      <c r="B50" s="2" t="str">
        <f>HYPERLINK(data[[#This Row],[detail]],"click")</f>
        <v>click</v>
      </c>
      <c r="C50" s="1" t="s">
        <v>172</v>
      </c>
      <c r="D50" s="1" t="s">
        <v>173</v>
      </c>
      <c r="E50" s="1" t="s">
        <v>17</v>
      </c>
      <c r="F50" s="1" t="s">
        <v>174</v>
      </c>
      <c r="G50" s="1" t="s">
        <v>33</v>
      </c>
      <c r="H50" s="1" t="s">
        <v>13</v>
      </c>
      <c r="I50" s="1" t="s">
        <v>77</v>
      </c>
      <c r="J50" s="4">
        <v>44994</v>
      </c>
      <c r="K50" s="1" t="s">
        <v>145</v>
      </c>
    </row>
    <row r="51" spans="1:11" x14ac:dyDescent="0.3">
      <c r="A51" s="1" t="str">
        <f>data[[#This Row],[status]]</f>
        <v/>
      </c>
      <c r="B51" s="2" t="str">
        <f>HYPERLINK(data[[#This Row],[detail]],"click")</f>
        <v>click</v>
      </c>
      <c r="C51" s="1" t="s">
        <v>190</v>
      </c>
      <c r="D51" s="1" t="s">
        <v>191</v>
      </c>
      <c r="E51" s="1" t="s">
        <v>17</v>
      </c>
      <c r="F51" s="1" t="s">
        <v>192</v>
      </c>
      <c r="G51" s="1" t="s">
        <v>33</v>
      </c>
      <c r="H51" s="1" t="s">
        <v>13</v>
      </c>
      <c r="I51" s="1" t="s">
        <v>69</v>
      </c>
      <c r="J51" s="4">
        <v>44994</v>
      </c>
      <c r="K51" s="1" t="s">
        <v>145</v>
      </c>
    </row>
    <row r="52" spans="1:11" x14ac:dyDescent="0.3">
      <c r="A52" s="1" t="str">
        <f>data[[#This Row],[status]]</f>
        <v/>
      </c>
      <c r="B52" s="2" t="str">
        <f>HYPERLINK(data[[#This Row],[detail]],"click")</f>
        <v>click</v>
      </c>
      <c r="C52" s="1" t="s">
        <v>29</v>
      </c>
      <c r="D52" s="1" t="s">
        <v>30</v>
      </c>
      <c r="E52" s="1" t="s">
        <v>10</v>
      </c>
      <c r="F52" s="1" t="s">
        <v>31</v>
      </c>
      <c r="G52" s="1" t="s">
        <v>12</v>
      </c>
      <c r="H52" s="1" t="s">
        <v>13</v>
      </c>
      <c r="I52" s="1" t="s">
        <v>32</v>
      </c>
      <c r="J52" s="4">
        <v>44995</v>
      </c>
      <c r="K52" s="1" t="s">
        <v>145</v>
      </c>
    </row>
    <row r="53" spans="1:11" x14ac:dyDescent="0.3">
      <c r="A53" s="1" t="str">
        <f>data[[#This Row],[status]]</f>
        <v/>
      </c>
      <c r="B53" s="2" t="str">
        <f>HYPERLINK(data[[#This Row],[detail]],"click")</f>
        <v>click</v>
      </c>
      <c r="C53" s="1" t="s">
        <v>70</v>
      </c>
      <c r="D53" s="1" t="s">
        <v>71</v>
      </c>
      <c r="E53" s="1" t="s">
        <v>17</v>
      </c>
      <c r="F53" s="1" t="s">
        <v>72</v>
      </c>
      <c r="G53" s="1" t="s">
        <v>46</v>
      </c>
      <c r="H53" s="1" t="s">
        <v>13</v>
      </c>
      <c r="I53" s="1" t="s">
        <v>32</v>
      </c>
      <c r="J53" s="4">
        <v>44995</v>
      </c>
      <c r="K53" s="1" t="s">
        <v>145</v>
      </c>
    </row>
    <row r="54" spans="1:11" x14ac:dyDescent="0.3">
      <c r="B54" s="2" t="str">
        <f>HYPERLINK(data[[#This Row],[detail]],"click")</f>
        <v>click</v>
      </c>
      <c r="C54" s="1" t="s">
        <v>116</v>
      </c>
      <c r="D54" s="1" t="s">
        <v>117</v>
      </c>
      <c r="E54" s="1" t="s">
        <v>17</v>
      </c>
      <c r="F54" s="1" t="s">
        <v>118</v>
      </c>
      <c r="G54" s="1" t="s">
        <v>27</v>
      </c>
      <c r="H54" s="1" t="s">
        <v>13</v>
      </c>
      <c r="I54" s="1" t="s">
        <v>119</v>
      </c>
      <c r="J54" s="4">
        <v>44995</v>
      </c>
      <c r="K54" s="1" t="s">
        <v>145</v>
      </c>
    </row>
    <row r="55" spans="1:11" x14ac:dyDescent="0.3">
      <c r="B55" s="2" t="str">
        <f>HYPERLINK(data[[#This Row],[detail]],"click")</f>
        <v>click</v>
      </c>
      <c r="C55" s="1" t="s">
        <v>209</v>
      </c>
      <c r="D55" s="1" t="s">
        <v>210</v>
      </c>
      <c r="E55" s="1" t="s">
        <v>17</v>
      </c>
      <c r="F55" s="1" t="s">
        <v>211</v>
      </c>
      <c r="G55" s="1" t="s">
        <v>212</v>
      </c>
      <c r="H55" s="1" t="s">
        <v>13</v>
      </c>
      <c r="I55" s="1" t="s">
        <v>213</v>
      </c>
      <c r="J55" s="4">
        <v>44997</v>
      </c>
      <c r="K55" s="1" t="s">
        <v>145</v>
      </c>
    </row>
    <row r="56" spans="1:11" x14ac:dyDescent="0.3">
      <c r="B56" s="2" t="str">
        <f>HYPERLINK(data[[#This Row],[detail]],"click")</f>
        <v>click</v>
      </c>
      <c r="C56" s="1" t="s">
        <v>166</v>
      </c>
      <c r="D56" s="1" t="s">
        <v>167</v>
      </c>
      <c r="E56" s="1" t="s">
        <v>10</v>
      </c>
      <c r="F56" s="1" t="s">
        <v>168</v>
      </c>
      <c r="G56" s="1" t="s">
        <v>33</v>
      </c>
      <c r="H56" s="1" t="s">
        <v>13</v>
      </c>
      <c r="I56" s="1" t="s">
        <v>82</v>
      </c>
      <c r="J56" s="4">
        <v>45000</v>
      </c>
      <c r="K56" s="1" t="s">
        <v>145</v>
      </c>
    </row>
    <row r="57" spans="1:11" x14ac:dyDescent="0.3">
      <c r="B57" s="2" t="str">
        <f>HYPERLINK(data[[#This Row],[detail]],"click")</f>
        <v>click</v>
      </c>
      <c r="C57" s="1" t="s">
        <v>36</v>
      </c>
      <c r="D57" s="1" t="s">
        <v>37</v>
      </c>
      <c r="E57" s="1" t="s">
        <v>17</v>
      </c>
      <c r="F57" s="1" t="s">
        <v>38</v>
      </c>
      <c r="G57" s="1" t="s">
        <v>12</v>
      </c>
      <c r="H57" s="1" t="s">
        <v>13</v>
      </c>
      <c r="I57" s="1" t="s">
        <v>39</v>
      </c>
      <c r="J57" s="4">
        <v>45002</v>
      </c>
      <c r="K57" s="1" t="s">
        <v>145</v>
      </c>
    </row>
    <row r="58" spans="1:11" x14ac:dyDescent="0.3">
      <c r="B58" s="2" t="str">
        <f>HYPERLINK(data[[#This Row],[detail]],"click")</f>
        <v>click</v>
      </c>
      <c r="C58" s="1" t="s">
        <v>88</v>
      </c>
      <c r="D58" s="1" t="s">
        <v>89</v>
      </c>
      <c r="E58" s="1" t="s">
        <v>17</v>
      </c>
      <c r="F58" s="1" t="s">
        <v>90</v>
      </c>
      <c r="G58" s="1" t="s">
        <v>43</v>
      </c>
      <c r="H58" s="1" t="s">
        <v>13</v>
      </c>
      <c r="I58" s="1" t="s">
        <v>58</v>
      </c>
      <c r="J58" s="4">
        <v>45002</v>
      </c>
      <c r="K58" s="1" t="s">
        <v>145</v>
      </c>
    </row>
    <row r="59" spans="1:11" x14ac:dyDescent="0.3">
      <c r="B59" s="2" t="str">
        <f>HYPERLINK(data[[#This Row],[detail]],"click")</f>
        <v>click</v>
      </c>
      <c r="C59" s="1" t="s">
        <v>133</v>
      </c>
      <c r="D59" s="1" t="s">
        <v>134</v>
      </c>
      <c r="E59" s="1" t="s">
        <v>17</v>
      </c>
      <c r="F59" s="1" t="s">
        <v>135</v>
      </c>
      <c r="G59" s="1" t="s">
        <v>12</v>
      </c>
      <c r="H59" s="1" t="s">
        <v>13</v>
      </c>
      <c r="I59" s="1" t="s">
        <v>35</v>
      </c>
      <c r="J59" s="4">
        <v>45006</v>
      </c>
      <c r="K59" s="1" t="s">
        <v>145</v>
      </c>
    </row>
    <row r="60" spans="1:11" x14ac:dyDescent="0.3">
      <c r="B60" s="2"/>
    </row>
  </sheetData>
  <conditionalFormatting sqref="A1:XFD10000">
    <cfRule type="expression" dxfId="3" priority="4">
      <formula>$A1="completed"</formula>
    </cfRule>
    <cfRule type="expression" dxfId="2" priority="3">
      <formula>$A1="working on it"</formula>
    </cfRule>
    <cfRule type="expression" dxfId="1" priority="2">
      <formula>$A1="not interested"</formula>
    </cfRule>
    <cfRule type="expression" dxfId="0" priority="1">
      <formula>$A1="strongly interested"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56AC40-AD58-49C2-B14D-B52902819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 Entre</dc:creator>
  <cp:lastModifiedBy>Solu Entre</cp:lastModifiedBy>
  <dcterms:created xsi:type="dcterms:W3CDTF">2015-06-05T18:17:20Z</dcterms:created>
  <dcterms:modified xsi:type="dcterms:W3CDTF">2023-02-24T00:53:32Z</dcterms:modified>
</cp:coreProperties>
</file>